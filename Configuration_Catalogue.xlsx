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AU DE BORD" sheetId="1" r:id="rId1"/>
    <sheet name="All" sheetId="2" r:id="rId2"/>
    <sheet name="GPU" sheetId="3" r:id="rId3"/>
    <sheet name="CPU" sheetId="4" r:id="rId4"/>
    <sheet name="Motherboard" sheetId="5" r:id="rId5"/>
    <sheet name="PSU" sheetId="6" r:id="rId6"/>
    <sheet name="Case" sheetId="7" r:id="rId7"/>
    <sheet name="RAM" sheetId="8" r:id="rId8"/>
    <sheet name="SDD" sheetId="9" r:id="rId9"/>
    <sheet name="NVMe" sheetId="10" r:id="rId10"/>
    <sheet name="HDD" sheetId="11" r:id="rId11"/>
    <sheet name="Extra" sheetId="12" r:id="rId12"/>
    <sheet name="Cooling" sheetId="13" r:id="rId13"/>
    <sheet name="INVENTAIRE" sheetId="14" r:id="rId14"/>
    <sheet name="BUDGET" sheetId="15" r:id="rId15"/>
    <sheet name="GUIDE" sheetId="16" r:id="rId16"/>
  </sheets>
  <definedNames>
    <definedName name="_xlnm._FilterDatabase" localSheetId="1" hidden="1">All!$A$1:$S$187</definedName>
    <definedName name="_xlnm._FilterDatabase" localSheetId="6" hidden="1">Case!$A$1:$R$20</definedName>
    <definedName name="_xlnm._FilterDatabase" localSheetId="12" hidden="1">Cooling!$A$1:$R$2</definedName>
    <definedName name="_xlnm._FilterDatabase" localSheetId="3" hidden="1">CPU!$A$1:$R$35</definedName>
    <definedName name="_xlnm._FilterDatabase" localSheetId="11" hidden="1">Extra!$A$1:$R$2</definedName>
    <definedName name="_xlnm._FilterDatabase" localSheetId="2" hidden="1">GPU!$A$1:$R$47</definedName>
    <definedName name="_xlnm._FilterDatabase" localSheetId="10" hidden="1">HDD!$A$1:$R$9</definedName>
    <definedName name="_xlnm._FilterDatabase" localSheetId="13" hidden="1">INVENTAIRE!$A$1:$F$187</definedName>
    <definedName name="_xlnm._FilterDatabase" localSheetId="4" hidden="1">Motherboard!$A$1:$R$32</definedName>
    <definedName name="_xlnm._FilterDatabase" localSheetId="9" hidden="1">NVMe!$A$1:$R$14</definedName>
    <definedName name="_xlnm._FilterDatabase" localSheetId="5" hidden="1">PSU!$A$1:$R$16</definedName>
    <definedName name="_xlnm._FilterDatabase" localSheetId="7" hidden="1">RAM!$A$1:$R$10</definedName>
    <definedName name="_xlnm._FilterDatabase" localSheetId="8" hidden="1">SDD!$A$1:$R$12</definedName>
  </definedNames>
  <calcPr calcId="124519" fullCalcOnLoad="1"/>
</workbook>
</file>

<file path=xl/sharedStrings.xml><?xml version="1.0" encoding="utf-8"?>
<sst xmlns="http://schemas.openxmlformats.org/spreadsheetml/2006/main" count="2939" uniqueCount="610">
  <si>
    <t>HARDWARE LAB | CATALOGUE</t>
  </si>
  <si>
    <t>Famille</t>
  </si>
  <si>
    <t>Références</t>
  </si>
  <si>
    <t>GPU</t>
  </si>
  <si>
    <t>CPU</t>
  </si>
  <si>
    <t>Motherboard</t>
  </si>
  <si>
    <t>PSU</t>
  </si>
  <si>
    <t>Case</t>
  </si>
  <si>
    <t>RAM</t>
  </si>
  <si>
    <t>SDD</t>
  </si>
  <si>
    <t>NVMe</t>
  </si>
  <si>
    <t>HDD</t>
  </si>
  <si>
    <t>Extra</t>
  </si>
  <si>
    <t>Cooling</t>
  </si>
  <si>
    <t>TOTAL RÉFÉRENCES</t>
  </si>
  <si>
    <t>Catégorie</t>
  </si>
  <si>
    <t>Référence</t>
  </si>
  <si>
    <t>Label</t>
  </si>
  <si>
    <t>Format</t>
  </si>
  <si>
    <t>Cores</t>
  </si>
  <si>
    <t>Threads</t>
  </si>
  <si>
    <t>Socket</t>
  </si>
  <si>
    <t>Capacité</t>
  </si>
  <si>
    <t>Description technique</t>
  </si>
  <si>
    <t>Neuf moyen €</t>
  </si>
  <si>
    <t>Échant. neuf</t>
  </si>
  <si>
    <t>Occasion moyen €</t>
  </si>
  <si>
    <t>Échant. occasion</t>
  </si>
  <si>
    <t>Achat réel €</t>
  </si>
  <si>
    <t>Livraison €</t>
  </si>
  <si>
    <t>Statut</t>
  </si>
  <si>
    <t>Photos</t>
  </si>
  <si>
    <t>Sources</t>
  </si>
  <si>
    <t>Fichier JSON</t>
  </si>
  <si>
    <t>AMD Radeon RX 5700</t>
  </si>
  <si>
    <t>GPU 8 Go GDDR6, bus 256 bits.</t>
  </si>
  <si>
    <t>candidate</t>
  </si>
  <si>
    <t>Component/GPU/AMD_Radeon_RX_5700.json</t>
  </si>
  <si>
    <t>AMD Radeon RX 5700 XT</t>
  </si>
  <si>
    <t>Component/GPU/AMD_Radeon_RX_5700_XT.json</t>
  </si>
  <si>
    <t>AMD Radeon RX 580</t>
  </si>
  <si>
    <t>GPU 8 Go GDDR5, bus 256 bits.</t>
  </si>
  <si>
    <t>Component/GPU/AMD_Radeon_RX_580.json</t>
  </si>
  <si>
    <t>AMD Radeon RX 6600</t>
  </si>
  <si>
    <t>GPU 8 Go GDDR6, bus 128 bits.</t>
  </si>
  <si>
    <t>Component/GPU/AMD_Radeon_RX_6600.json</t>
  </si>
  <si>
    <t>AMD Radeon RX 6600 XT</t>
  </si>
  <si>
    <t>Component/GPU/AMD_Radeon_RX_6600_XT.json</t>
  </si>
  <si>
    <t>AMD Radeon RX 6650 XT</t>
  </si>
  <si>
    <t>Component/GPU/AMD_Radeon_RX_6650_XT.json</t>
  </si>
  <si>
    <t>AMD Radeon RX 6700</t>
  </si>
  <si>
    <t>GPU 10 Go GDDR6, bus 160 bits.</t>
  </si>
  <si>
    <t>Component/GPU/AMD_Radeon_RX_6700.json</t>
  </si>
  <si>
    <t>AMD Radeon RX 6700 XT</t>
  </si>
  <si>
    <t>GPU 12 Go GDDR6, bus 192 bits.</t>
  </si>
  <si>
    <t>Component/GPU/AMD_Radeon_RX_6700_XT.json</t>
  </si>
  <si>
    <t>AMD Radeon RX 6750 XT</t>
  </si>
  <si>
    <t>Component/GPU/AMD_Radeon_RX_6750_XT.json</t>
  </si>
  <si>
    <t>AMD Radeon RX 6800</t>
  </si>
  <si>
    <t>GPU 16 Go GDDR6, bus 256 bits.</t>
  </si>
  <si>
    <t>Component/GPU/AMD_Radeon_RX_6800.json</t>
  </si>
  <si>
    <t>AMD Radeon RX 6800 XT</t>
  </si>
  <si>
    <t>Component/GPU/AMD_Radeon_RX_6800_XT.json</t>
  </si>
  <si>
    <t>AMD Radeon RX 6900 XT</t>
  </si>
  <si>
    <t>Component/GPU/AMD_Radeon_RX_6900_XT.json</t>
  </si>
  <si>
    <t>AMD Radeon RX 6950 XT</t>
  </si>
  <si>
    <t>Component/GPU/AMD_Radeon_RX_6950_XT.json</t>
  </si>
  <si>
    <t>AMD Radeon RX 7600</t>
  </si>
  <si>
    <t>Component/GPU/AMD_Radeon_RX_7600.json</t>
  </si>
  <si>
    <t>AMD Radeon RX 7600 XT</t>
  </si>
  <si>
    <t>GPU 16 Go GDDR6, bus 128 bits.</t>
  </si>
  <si>
    <t>Component/GPU/AMD_Radeon_RX_7600_XT.json</t>
  </si>
  <si>
    <t>AMD Radeon RX 7700 XT</t>
  </si>
  <si>
    <t>Component/GPU/AMD_Radeon_RX_7700_XT.json</t>
  </si>
  <si>
    <t>AMD Radeon RX 7800 XT</t>
  </si>
  <si>
    <t>Component/GPU/AMD_Radeon_RX_7800_XT.json</t>
  </si>
  <si>
    <t>AMD Radeon RX 7900 GRE</t>
  </si>
  <si>
    <t>Component/GPU/AMD_Radeon_RX_7900_GRE.json</t>
  </si>
  <si>
    <t>AMD Radeon RX 7900 XT</t>
  </si>
  <si>
    <t>GPU 20 Go GDDR6, bus 320 bits.</t>
  </si>
  <si>
    <t>Component/GPU/AMD_Radeon_RX_7900_XT.json</t>
  </si>
  <si>
    <t>AMD Radeon RX 7900 XTX</t>
  </si>
  <si>
    <t>GPU 24 Go GDDR6, bus 384 bits.</t>
  </si>
  <si>
    <t>Component/GPU/AMD_Radeon_RX_7900_XTX.json</t>
  </si>
  <si>
    <t>AMD Radeon RX 9060 XT 16GB</t>
  </si>
  <si>
    <t>Component/GPU/AMD_Radeon_RX_9060_XT_16GB.json</t>
  </si>
  <si>
    <t>AMD Radeon RX 9070</t>
  </si>
  <si>
    <t>Component/GPU/AMD_Radeon_RX_9070.json</t>
  </si>
  <si>
    <t>AMD Radeon RX 9070 XT</t>
  </si>
  <si>
    <t>Component/GPU/AMD_Radeon_RX_9070_XT.json</t>
  </si>
  <si>
    <t>EVGA GeForce RTX 2080 Ti XC HYBRID GAMING 11GB (11G-P4-2384-KR)</t>
  </si>
  <si>
    <t>GPU 11 Go GDDR6, bus 352 bits.</t>
  </si>
  <si>
    <t>Assets/GPU/EVGA_RTX_2080_Ti_XC_HYBRID_GAMING_11G-P4-2384-KR.jpg</t>
  </si>
  <si>
    <t>Component/GPU/EVGA_RTX_2080_Ti_XC_HYBRID_GAMING_11G-P4-2384-KR.json</t>
  </si>
  <si>
    <t>NVIDIA GeForce RTX 2060 SUPER</t>
  </si>
  <si>
    <t>Component/GPU/NVIDIA_GeForce_RTX_2060_SUPER.json</t>
  </si>
  <si>
    <t>NVIDIA GeForce RTX 2070</t>
  </si>
  <si>
    <t>Component/GPU/NVIDIA_GeForce_RTX_2070.json</t>
  </si>
  <si>
    <t>NVIDIA GeForce RTX 2070 SUPER</t>
  </si>
  <si>
    <t>Component/GPU/NVIDIA_GeForce_RTX_2070_SUPER.json</t>
  </si>
  <si>
    <t>NVIDIA GeForce RTX 2080</t>
  </si>
  <si>
    <t>Component/GPU/NVIDIA_GeForce_RTX_2080.json</t>
  </si>
  <si>
    <t>NVIDIA GeForce RTX 2080 SUPER</t>
  </si>
  <si>
    <t>Component/GPU/NVIDIA_GeForce_RTX_2080_SUPER.json</t>
  </si>
  <si>
    <t>NVIDIA GeForce RTX 2080 Ti</t>
  </si>
  <si>
    <t>Component/GPU/NVIDIA_GeForce_RTX_2080_Ti.json</t>
  </si>
  <si>
    <t>NVIDIA GeForce RTX 3060</t>
  </si>
  <si>
    <t>La GeForce RTX 3060 12 Go est un GPU NVIDIA Ampere équipé de 3 584 cœurs CUDA et de mémoire GDDR6 sur un bus de 192 bits. Elle prend en charge le rendu 3D, DirectX 12 Ultimate, le ray tracing matériel et l’accélération d’applications compatibles CUDA. Les cœurs Tensor accélèrent certaines opérations d’IA et les fonctions DLSS compatibles. NVIDIA annonce une consommation graphique de référence de 170 W et recommande une alimentation système de 550 W. Les fréquences, dimensions, prises d’alimentation et sorties exactes diffèrent selon le fabricant de la carte : la fiche décrit la variante 12 Go, et non la RTX 3060 8 Go. Technologies documentées : CUDA, Ray tracing, Tensor cores, DLSS, DirectX 12 Ultimate, NVIDIA Broadcast, Resizable BAR.</t>
  </si>
  <si>
    <t>Ouvrir sources</t>
  </si>
  <si>
    <t>Component/GPU/NVIDIA_GeForce_RTX_3060.json</t>
  </si>
  <si>
    <t>NVIDIA GeForce RTX 3060 Ti</t>
  </si>
  <si>
    <t>Component/GPU/NVIDIA_GeForce_RTX_3060_Ti.json</t>
  </si>
  <si>
    <t>NVIDIA GeForce RTX 3070</t>
  </si>
  <si>
    <t>Component/GPU/NVIDIA_GeForce_RTX_3070.json</t>
  </si>
  <si>
    <t>NVIDIA GeForce RTX 3070 Ti</t>
  </si>
  <si>
    <t>GPU 8 Go GDDR6X, bus 256 bits.</t>
  </si>
  <si>
    <t>Component/GPU/NVIDIA_GeForce_RTX_3070_Ti.json</t>
  </si>
  <si>
    <t>NVIDIA GeForce RTX 3080</t>
  </si>
  <si>
    <t>GPU 10 Go GDDR6X, bus 320 bits.</t>
  </si>
  <si>
    <t>Component/GPU/NVIDIA_GeForce_RTX_3080.json</t>
  </si>
  <si>
    <t>NVIDIA GeForce RTX 3080 Ti</t>
  </si>
  <si>
    <t>GPU 12 Go GDDR6X, bus 384 bits.</t>
  </si>
  <si>
    <t>Component/GPU/NVIDIA_GeForce_RTX_3080_Ti.json</t>
  </si>
  <si>
    <t>NVIDIA GeForce RTX 3090</t>
  </si>
  <si>
    <t>GPU 24 Go GDDR6X, bus 384 bits.</t>
  </si>
  <si>
    <t>Component/GPU/NVIDIA_GeForce_RTX_3090.json</t>
  </si>
  <si>
    <t>NVIDIA GeForce RTX 3090 Ti</t>
  </si>
  <si>
    <t>Component/GPU/NVIDIA_GeForce_RTX_3090_Ti.json</t>
  </si>
  <si>
    <t>NVIDIA GeForce RTX 4060 Ti 16GB</t>
  </si>
  <si>
    <t>Component/GPU/NVIDIA_GeForce_RTX_4060_Ti_16GB.json</t>
  </si>
  <si>
    <t>NVIDIA GeForce RTX 4070</t>
  </si>
  <si>
    <t>GPU 12 Go GDDR6X, bus 192 bits.</t>
  </si>
  <si>
    <t>Component/GPU/NVIDIA_GeForce_RTX_4070.json</t>
  </si>
  <si>
    <t>NVIDIA GeForce RTX 4070 SUPER</t>
  </si>
  <si>
    <t>Component/GPU/NVIDIA_GeForce_RTX_4070_SUPER.json</t>
  </si>
  <si>
    <t>NVIDIA GeForce RTX 4070 Ti</t>
  </si>
  <si>
    <t>Component/GPU/NVIDIA_GeForce_RTX_4070_Ti.json</t>
  </si>
  <si>
    <t>NVIDIA GeForce RTX 4070 Ti SUPER</t>
  </si>
  <si>
    <t>GPU 16 Go GDDR6X, bus 256 bits.</t>
  </si>
  <si>
    <t>Component/GPU/NVIDIA_GeForce_RTX_4070_Ti_SUPER.json</t>
  </si>
  <si>
    <t>NVIDIA GeForce RTX 4080</t>
  </si>
  <si>
    <t>Component/GPU/NVIDIA_GeForce_RTX_4080.json</t>
  </si>
  <si>
    <t>NVIDIA GeForce RTX 4080 SUPER</t>
  </si>
  <si>
    <t>Component/GPU/NVIDIA_GeForce_RTX_4080_SUPER.json</t>
  </si>
  <si>
    <t>NVIDIA GeForce RTX 4090</t>
  </si>
  <si>
    <t>Component/GPU/NVIDIA_GeForce_RTX_4090.json</t>
  </si>
  <si>
    <t>AMD Ryzen 5 1600</t>
  </si>
  <si>
    <t>DDR4</t>
  </si>
  <si>
    <t>AM4</t>
  </si>
  <si>
    <t>Processeur AMD Ryzen 5 1600 pour PC de bureau, architecture Zen (Summit Ridge, variante AE 14 nm). 6 cœurs physiques et 12 threads grâce au SMT. Jeu d'instructions x86-64, AES pour accélérer les opérations cryptographiques, AVX2 et FMA3 pour les calculs vectoriels, virtualisation matérielle AMD-V. Fréquences 3,2 GHz de base et jusqu'à 3,6 GHz en boost ; cache L3 16 Mo, TDP 65 W. Plateforme AM4 avec mémoire DDR4 double canal et PCIe 3.0. Requiert une carte graphique dédiée. Ne pas confondre avec la variante AF 12 nm. Technologies documentées : x86-64 (64 bits), SMT, AES, AVX2, FMA3, AMD-V (virtualisation), AMD SenseMI, XFR.</t>
  </si>
  <si>
    <t>Assets/CPU/CPU - AMD Ryzen 5 1600.jpg</t>
  </si>
  <si>
    <t>Component/CPU/AMD_Ryzen_5_1600.json</t>
  </si>
  <si>
    <t>AMD Ryzen 5 2600</t>
  </si>
  <si>
    <t>CPU 6 cœurs / 12 threads, socket AM4.</t>
  </si>
  <si>
    <t>Assets/CPU/CPU - AMD Ryzen 5 2600.jpg</t>
  </si>
  <si>
    <t>Component/CPU/AMD_Ryzen_5_2600.json</t>
  </si>
  <si>
    <t>AMD Ryzen 5 3600</t>
  </si>
  <si>
    <t>Assets/CPU/CPU - AMD Ryzen 5 3600.jpg</t>
  </si>
  <si>
    <t>Component/CPU/AMD_Ryzen_5_3600.json</t>
  </si>
  <si>
    <t>AMD Ryzen 5 5600</t>
  </si>
  <si>
    <t>Assets/CPU/CPU - AMD Ryzen 5 5600X.jpg</t>
  </si>
  <si>
    <t>Component/CPU/AMD_Ryzen_5_5600.json</t>
  </si>
  <si>
    <t>AMD Ryzen 5 5600X</t>
  </si>
  <si>
    <t>Le Ryzen 5 5600X est un processeur de bureau AMD Zen 3 (Vermeer) gravé en 7 nm : 6 cœurs physiques et 12 threads via SMT. Il fonctionne à 3,7 GHz de base et jusqu’à 4,6 GHz en Boost selon les conditions de température et de puissance. Son cache L3 de 32 Mo réduit certaines latences d’accès aux données. Le socket AM4, la DDR4 jusqu’à 3200 MT/s et le PCIe 4.0 permettent de l’intégrer à une plateforme compatible après vérification du BIOS. Avec son TDP de référence de 65 W, la boîte 100-100000065BOX inclut un Wraith Stealth. Absence de circuit graphique intégré : une carte graphique dédiée est nécessaire. Technologies documentées : x86-64 (64 bits), Zen 3, SMT, AMD Ryzen Master, AMD StoreMI, PCIe 4.0.</t>
  </si>
  <si>
    <t>Component/CPU/AMD_Ryzen_5_5600X.json</t>
  </si>
  <si>
    <t>AMD Ryzen 5 7600</t>
  </si>
  <si>
    <t>AM5</t>
  </si>
  <si>
    <t>CPU 6 cœurs / 12 threads, socket AM5.</t>
  </si>
  <si>
    <t>Assets/CPU/CPU - AMD Ryzen 5 7600.jpg</t>
  </si>
  <si>
    <t>Component/CPU/AMD_Ryzen_5_7600.json</t>
  </si>
  <si>
    <t>AMD Ryzen 5 7600X</t>
  </si>
  <si>
    <t>Component/CPU/AMD_Ryzen_5_7600X.json</t>
  </si>
  <si>
    <t>AMD Ryzen 7 1700X</t>
  </si>
  <si>
    <t>CPU 8 cœurs / 16 threads, socket AM4.</t>
  </si>
  <si>
    <t>installed</t>
  </si>
  <si>
    <t>Component/CPU/AMD_Ryzen_7_1700X.json</t>
  </si>
  <si>
    <t>AMD Ryzen 7 2700X</t>
  </si>
  <si>
    <t>Component/CPU/AMD_Ryzen_7_2700X.json</t>
  </si>
  <si>
    <t>AMD Ryzen 7 3700X</t>
  </si>
  <si>
    <t>Component/CPU/AMD_Ryzen_7_3700X.json</t>
  </si>
  <si>
    <t>AMD Ryzen 7 5700X</t>
  </si>
  <si>
    <t>Component/CPU/AMD_Ryzen_7_5700X.json</t>
  </si>
  <si>
    <t>AMD Ryzen 7 5700X3D</t>
  </si>
  <si>
    <t>Component/CPU/AMD_Ryzen_7_5700X3D.json</t>
  </si>
  <si>
    <t>AMD Ryzen 7 5800X3D</t>
  </si>
  <si>
    <t>Component/CPU/AMD_Ryzen_7_5800X3D.json</t>
  </si>
  <si>
    <t>AMD Ryzen 7 7700X</t>
  </si>
  <si>
    <t>CPU 8 cœurs / 16 threads, socket AM5.</t>
  </si>
  <si>
    <t>Component/CPU/AMD_Ryzen_7_7700X.json</t>
  </si>
  <si>
    <t>AMD Ryzen 7 7800X3D</t>
  </si>
  <si>
    <t>Component/CPU/AMD_Ryzen_7_7800X3D.json</t>
  </si>
  <si>
    <t>AMD Ryzen 7 9800X3D</t>
  </si>
  <si>
    <t>Component/CPU/AMD_Ryzen_7_9800X3D.json</t>
  </si>
  <si>
    <t>AMD Ryzen 9 5900X</t>
  </si>
  <si>
    <t>CPU 12 cœurs / 24 threads, socket AM4.</t>
  </si>
  <si>
    <t>Component/CPU/AMD_Ryzen_9_5900X.json</t>
  </si>
  <si>
    <t>AMD Ryzen 9 5950X</t>
  </si>
  <si>
    <t>CPU 16 cœurs / 32 threads, socket AM4.</t>
  </si>
  <si>
    <t>Component/CPU/AMD_Ryzen_9_5950X.json</t>
  </si>
  <si>
    <t>AMD Ryzen 9 7950X</t>
  </si>
  <si>
    <t>CPU 16 cœurs / 32 threads, socket AM5.</t>
  </si>
  <si>
    <t>Component/CPU/AMD_Ryzen_9_7950X.json</t>
  </si>
  <si>
    <t>Intel Core i5-10400</t>
  </si>
  <si>
    <t>LGA1200</t>
  </si>
  <si>
    <t>CPU 6 cœurs / 12 threads, socket LGA1200.</t>
  </si>
  <si>
    <t>Component/CPU/Intel_Core_i5-10400.json</t>
  </si>
  <si>
    <t>Intel Core i5-11400</t>
  </si>
  <si>
    <t>Component/CPU/Intel_Core_i5-11400.json</t>
  </si>
  <si>
    <t>Intel Core i5-12400F</t>
  </si>
  <si>
    <t>LGA1700</t>
  </si>
  <si>
    <t>CPU 6 cœurs / 12 threads, socket LGA1700.</t>
  </si>
  <si>
    <t>Component/CPU/Intel_Core_i5-12400F.json</t>
  </si>
  <si>
    <t>Intel Core i5-13400F</t>
  </si>
  <si>
    <t>CPU 10 cœurs / 16 threads, socket LGA1700.</t>
  </si>
  <si>
    <t>Component/CPU/Intel_Core_i5-13400F.json</t>
  </si>
  <si>
    <t>Intel Core i5-13600K</t>
  </si>
  <si>
    <t>CPU 14 cœurs / 20 threads, socket LGA1700.</t>
  </si>
  <si>
    <t>Component/CPU/Intel_Core_i5-13600K.json</t>
  </si>
  <si>
    <t>Intel Core i5-14600K</t>
  </si>
  <si>
    <t>Component/CPU/Intel_Core_i5-14600K.json</t>
  </si>
  <si>
    <t>Intel Core i7-10700K</t>
  </si>
  <si>
    <t>CPU 8 cœurs / 16 threads, socket LGA1200.</t>
  </si>
  <si>
    <t>Component/CPU/Intel_Core_i7-10700K.json</t>
  </si>
  <si>
    <t>Intel Core i7-12700K</t>
  </si>
  <si>
    <t>CPU 12 cœurs / 20 threads, socket LGA1700.</t>
  </si>
  <si>
    <t>Component/CPU/Intel_Core_i7-12700K.json</t>
  </si>
  <si>
    <t>Intel Core i7-13700K</t>
  </si>
  <si>
    <t>CPU 16 cœurs / 24 threads, socket LGA1700.</t>
  </si>
  <si>
    <t>Component/CPU/Intel_Core_i7-13700K.json</t>
  </si>
  <si>
    <t>Intel Core i7-14700K</t>
  </si>
  <si>
    <t>CPU 20 cœurs / 28 threads, socket LGA1700.</t>
  </si>
  <si>
    <t>Component/CPU/Intel_Core_i7-14700K.json</t>
  </si>
  <si>
    <t>Intel Core i7-4770</t>
  </si>
  <si>
    <t>LGA1150</t>
  </si>
  <si>
    <t>CPU 4 cœurs / 8 threads, socket LGA1150.</t>
  </si>
  <si>
    <t>Component/CPU/Intel_Core_i7-4770.json</t>
  </si>
  <si>
    <t>Intel Core i7-6700</t>
  </si>
  <si>
    <t>LGA1151</t>
  </si>
  <si>
    <t>CPU 4 cœurs / 8 threads, socket LGA1151.</t>
  </si>
  <si>
    <t>Component/CPU/Intel_Core_i7-6700.json</t>
  </si>
  <si>
    <t>Intel Core i7-7700</t>
  </si>
  <si>
    <t>Component/CPU/Intel_Core_i7-7700.json</t>
  </si>
  <si>
    <t>Intel Core i7-8700</t>
  </si>
  <si>
    <t>CPU 6 cœurs / 12 threads, socket LGA1151.</t>
  </si>
  <si>
    <t>Component/CPU/Intel_Core_i7-8700.json</t>
  </si>
  <si>
    <t>Intel Core i7-9700K</t>
  </si>
  <si>
    <t>CPU 8 cœurs / 8 threads, socket LGA1151.</t>
  </si>
  <si>
    <t>Component/CPU/Intel_Core_i7-9700K.json</t>
  </si>
  <si>
    <t>ASRock B550M-ITX/ac</t>
  </si>
  <si>
    <t>gaming_economique</t>
  </si>
  <si>
    <t>Mini-ITX</t>
  </si>
  <si>
    <t>Carte mère Mini-ITX au socket AM4, dotée du chipset AMD B550, destinée aux machines compactes. Un emplacement PCIe 4.0 x16 reçoit la carte graphique, tandis qu’un emplacement M.2 PCIe 4.0 x4/SATA et quatre ports SATA3 servent au stockage. Deux logements DDR4 assurent la mémoire système. Les sorties HDMI et DisplayPort sont disponibles avec un processeur doté d’un circuit graphique compatible. Réseau Realtek Gigabit, Wi-Fi 802.11ac, Bluetooth 4.2 et audio Realtek ALC887/897 7.1 canaux. Les prises en charge CPU dépendent de la version BIOS et de la liste de compatibilité ASRock.</t>
  </si>
  <si>
    <t>Component/Motherboard/ASRock_B550M-ITX_ac.json</t>
  </si>
  <si>
    <t>ASRock B550M Pro4</t>
  </si>
  <si>
    <t>bureautique</t>
  </si>
  <si>
    <t>mATX</t>
  </si>
  <si>
    <t>ASRock B550M Pro4 — mATX</t>
  </si>
  <si>
    <t>Component/Motherboard/ASRock_B550M_Pro4.json</t>
  </si>
  <si>
    <t>ASRock B650I Lightning WiFi</t>
  </si>
  <si>
    <t>ASRock B650I Lightning WiFi — Mini-ITX</t>
  </si>
  <si>
    <t>Component/Motherboard/ASRock_B650I_Lightning_WiFi.json</t>
  </si>
  <si>
    <t>ASRock B760M Steel Legend WiFi</t>
  </si>
  <si>
    <t>gaming_pro</t>
  </si>
  <si>
    <t>ASRock B760M Steel Legend WiFi — mATX</t>
  </si>
  <si>
    <t>Component/Motherboard/ASRock_B760M_Steel_Legend_WiFi.json</t>
  </si>
  <si>
    <t>ASRock X570 Taichi</t>
  </si>
  <si>
    <t>workstation</t>
  </si>
  <si>
    <t>ATX</t>
  </si>
  <si>
    <t>ASRock X570 Taichi — ATX</t>
  </si>
  <si>
    <t>Component/Motherboard/ASRock_X570_Taichi.json</t>
  </si>
  <si>
    <t>ASRock X670E Steel Legend</t>
  </si>
  <si>
    <t>gaming_ultra</t>
  </si>
  <si>
    <t>ASRock X670E Steel Legend — ATX</t>
  </si>
  <si>
    <t>Component/Motherboard/ASRock_X670E_Steel_Legend.json</t>
  </si>
  <si>
    <t>ASUS PRIME B450M-A II</t>
  </si>
  <si>
    <t>ASUS PRIME B450M-A II — mATX</t>
  </si>
  <si>
    <t>Component/Motherboard/ASUS_PRIME_B450M-A_II.json</t>
  </si>
  <si>
    <t>ASUS PRIME B550-PLUS</t>
  </si>
  <si>
    <t>ASUS PRIME B550-PLUS — ATX</t>
  </si>
  <si>
    <t>Component/Motherboard/ASUS_PRIME_B550-PLUS.json</t>
  </si>
  <si>
    <t>ASUS PRIME B760M-A WIFI D4</t>
  </si>
  <si>
    <t>ASUS PRIME B760M-A WIFI D4 — mATX</t>
  </si>
  <si>
    <t>Component/Motherboard/ASUS_PRIME_B760M-A_WIFI_D4.json</t>
  </si>
  <si>
    <t>ASUS ProArt B550-CREATOR</t>
  </si>
  <si>
    <t>audio_streaming</t>
  </si>
  <si>
    <t>ASUS ProArt B550-CREATOR — ATX</t>
  </si>
  <si>
    <t>Component/Motherboard/ASUS_ProArt_B550-CREATOR.json</t>
  </si>
  <si>
    <t>ASUS ProArt X670E-CREATOR WIFI</t>
  </si>
  <si>
    <t>ASUS ProArt X670E-CREATOR WIFI — ATX</t>
  </si>
  <si>
    <t>Component/Motherboard/ASUS_ProArt_X670E-CREATOR_WIFI.json</t>
  </si>
  <si>
    <t>ASUS ROG MAXIMUS Z790 HERO</t>
  </si>
  <si>
    <t>ASUS ROG MAXIMUS Z790 HERO — ATX</t>
  </si>
  <si>
    <t>Component/Motherboard/ASUS_ROG_MAXIMUS_Z790_HERO.json</t>
  </si>
  <si>
    <t>ASUS ROG STRIX B550-I GAMING</t>
  </si>
  <si>
    <t>ASUS ROG STRIX B550-I GAMING — Mini-ITX</t>
  </si>
  <si>
    <t>Component/Motherboard/ASUS_ROG_STRIX_B550-I_GAMING.json</t>
  </si>
  <si>
    <t>ASUS ROG STRIX B650E-I GAMING WIFI</t>
  </si>
  <si>
    <t>ASUS ROG STRIX B650E-I GAMING WIFI — Mini-ITX</t>
  </si>
  <si>
    <t>Component/Motherboard/ASUS_ROG_STRIX_B650E-I_GAMING_WIFI.json</t>
  </si>
  <si>
    <t>ASUS ROG STRIX Z790-I GAMING WIFI</t>
  </si>
  <si>
    <t>ASUS ROG STRIX Z790-I GAMING WIFI — Mini-ITX</t>
  </si>
  <si>
    <t>Component/Motherboard/ASUS_ROG_STRIX_Z790-I_GAMING_WIFI.json</t>
  </si>
  <si>
    <t>ASUS TUF B450M-PLUS GAMING</t>
  </si>
  <si>
    <t>Micro-ATX</t>
  </si>
  <si>
    <t>ASUS TUF B450M-PLUS GAMING — Micro-ATX</t>
  </si>
  <si>
    <t>Component/Motherboard/ASUS_TUF_B450M_PLUS_GAMING.json</t>
  </si>
  <si>
    <t>ASUS TUF GAMING B550M-PLUS</t>
  </si>
  <si>
    <t>ASUS TUF GAMING B550M-PLUS — mATX</t>
  </si>
  <si>
    <t>Component/Motherboard/ASUS_TUF_GAMING_B550M-PLUS.json</t>
  </si>
  <si>
    <t>ASUS TUF GAMING X570-PLUS (WI-FI)</t>
  </si>
  <si>
    <t>ASUS TUF GAMING X570-PLUS (WI-FI) — ATX</t>
  </si>
  <si>
    <t>Component/Motherboard/ASUS_TUF_GAMING_X570-PLUS_WI-FI.json</t>
  </si>
  <si>
    <t>Gigabyte B550I AORUS PRO AX</t>
  </si>
  <si>
    <t>Gigabyte B550I AORUS PRO AX — Mini-ITX</t>
  </si>
  <si>
    <t>Component/Motherboard/Gigabyte_B550I_AORUS_PRO_AX.json</t>
  </si>
  <si>
    <t>Gigabyte B550M DS3H</t>
  </si>
  <si>
    <t>Gigabyte B550M DS3H — mATX</t>
  </si>
  <si>
    <t>Component/Motherboard/Gigabyte_B550M_DS3H.json</t>
  </si>
  <si>
    <t>Gigabyte B550 AORUS ELITE V2</t>
  </si>
  <si>
    <t>Gigabyte B550 AORUS ELITE V2 — ATX</t>
  </si>
  <si>
    <t>Component/Motherboard/Gigabyte_B550_AORUS_ELITE_V2.json</t>
  </si>
  <si>
    <t>Gigabyte B650I AORUS ULTRA</t>
  </si>
  <si>
    <t>Gigabyte B650I AORUS ULTRA — Mini-ITX</t>
  </si>
  <si>
    <t>Component/Motherboard/Gigabyte_B650I_AORUS_ULTRA.json</t>
  </si>
  <si>
    <t>Gigabyte B760M DS3H DDR4</t>
  </si>
  <si>
    <t>Gigabyte B760M DS3H DDR4 — mATX</t>
  </si>
  <si>
    <t>Component/Motherboard/Gigabyte_B760M_DS3H_DDR4.json</t>
  </si>
  <si>
    <t>Gigabyte X670 AORUS ELITE AX</t>
  </si>
  <si>
    <t>Gigabyte X670 AORUS ELITE AX — ATX</t>
  </si>
  <si>
    <t>Component/Motherboard/Gigabyte_X670_AORUS_ELITE_AX.json</t>
  </si>
  <si>
    <t>MSI B550-A PRO</t>
  </si>
  <si>
    <t>MSI B550-A PRO — ATX</t>
  </si>
  <si>
    <t>Component/Motherboard/MSI_B550-A_PRO.json</t>
  </si>
  <si>
    <t>MSI B550M PRO-VDH WIFI</t>
  </si>
  <si>
    <t>MSI B550M PRO-VDH WIFI — mATX</t>
  </si>
  <si>
    <t>Component/Motherboard/MSI_B550M_PRO-VDH_WIFI.json</t>
  </si>
  <si>
    <t>MSI MAG B550M MORTAR</t>
  </si>
  <si>
    <t>MSI MAG B550M MORTAR — mATX</t>
  </si>
  <si>
    <t>Component/Motherboard/MSI_MAG_B550M_MORTAR.json</t>
  </si>
  <si>
    <t>MSI MAG X570 TOMAHAWK WIFI</t>
  </si>
  <si>
    <t>MSI MAG X570 TOMAHAWK WIFI — ATX</t>
  </si>
  <si>
    <t>Component/Motherboard/MSI_MAG_X570_TOMAHAWK_WIFI.json</t>
  </si>
  <si>
    <t>MSI MPG B760I EDGE WIFI</t>
  </si>
  <si>
    <t>MSI MPG B760I EDGE WIFI — Mini-ITX</t>
  </si>
  <si>
    <t>Component/Motherboard/MSI_MPG_B760I_EDGE_WIFI.json</t>
  </si>
  <si>
    <t>MSI PRO B760M-A WIFI DDR4</t>
  </si>
  <si>
    <t>MSI PRO B760M-A WIFI DDR4 — mATX</t>
  </si>
  <si>
    <t>Component/Motherboard/MSI_PRO_B760M-A_WIFI_DDR4.json</t>
  </si>
  <si>
    <t>MSI PRO Z790-A WIFI</t>
  </si>
  <si>
    <t>MSI PRO Z790-A WIFI — ATX</t>
  </si>
  <si>
    <t>Component/Motherboard/MSI_PRO_Z790-A_WIFI.json</t>
  </si>
  <si>
    <t>Cooler Master RS-600-ACAB-B1 600 W</t>
  </si>
  <si>
    <t xml:space="preserve"> / </t>
  </si>
  <si>
    <t>Cooler Master RS-600-ACAB-B1 600 W — spécifications partielles</t>
  </si>
  <si>
    <t>Component/PSU/Cooler_Master_RS_600_ACAB_B1.json</t>
  </si>
  <si>
    <t>Corsair CX450</t>
  </si>
  <si>
    <t>Bronze / Non modulaire</t>
  </si>
  <si>
    <t>Corsair CX450 — spécifications partielles</t>
  </si>
  <si>
    <t>Component/PSU/Corsair_CX450.json</t>
  </si>
  <si>
    <t>Corsair CX550M</t>
  </si>
  <si>
    <t>Bronze / Semi-modulaire</t>
  </si>
  <si>
    <t>Corsair CX550M — spécifications partielles</t>
  </si>
  <si>
    <t>Component/PSU/Corsair_CX550M.json</t>
  </si>
  <si>
    <t>Corsair RM1000x</t>
  </si>
  <si>
    <t>Gold / Modulaire</t>
  </si>
  <si>
    <t>Corsair RM1000x — spécifications partielles</t>
  </si>
  <si>
    <t>Component/PSU/Corsair_RM1000x.json</t>
  </si>
  <si>
    <t>Corsair RM750e</t>
  </si>
  <si>
    <t>Corsair RM750e — spécifications partielles</t>
  </si>
  <si>
    <t>Component/PSU/Corsair_RM750e.json</t>
  </si>
  <si>
    <t>Corsair RM850x</t>
  </si>
  <si>
    <t>Corsair RM850x — spécifications partielles</t>
  </si>
  <si>
    <t>Component/PSU/Corsair_RM850x.json</t>
  </si>
  <si>
    <t>Seasonic FOCUS GX-1000</t>
  </si>
  <si>
    <t>Seasonic FOCUS GX-1000 — spécifications partielles</t>
  </si>
  <si>
    <t>Component/PSU/Seasonic_FOCUS_GX-1000.json</t>
  </si>
  <si>
    <t>Seasonic FOCUS GX-750</t>
  </si>
  <si>
    <t>Seasonic FOCUS GX-750 — spécifications partielles</t>
  </si>
  <si>
    <t>Component/PSU/Seasonic_FOCUS_GX-750.json</t>
  </si>
  <si>
    <t>Seasonic FOCUS GX-850</t>
  </si>
  <si>
    <t>Seasonic FOCUS GX-850 — spécifications partielles</t>
  </si>
  <si>
    <t>Component/PSU/Seasonic_FOCUS_GX-850.json</t>
  </si>
  <si>
    <t>Seasonic S12III 500</t>
  </si>
  <si>
    <t>Seasonic S12III 500 — spécifications partielles</t>
  </si>
  <si>
    <t>Component/PSU/Seasonic_S12III_500.json</t>
  </si>
  <si>
    <t>be quiet! Dark Power 13 1000W</t>
  </si>
  <si>
    <t>Titanium / Modulaire</t>
  </si>
  <si>
    <t>be quiet! Dark Power 13 1000W — spécifications partielles</t>
  </si>
  <si>
    <t>Component/PSU/be_quiet_Dark_Power_13_1000W.json</t>
  </si>
  <si>
    <t>be quiet! Pure Power 11 600W</t>
  </si>
  <si>
    <t>Gold / Non modulaire</t>
  </si>
  <si>
    <t>be quiet! Pure Power 11 600W — spécifications partielles</t>
  </si>
  <si>
    <t>Component/PSU/be_quiet_Pure_Power_11_600W.json</t>
  </si>
  <si>
    <t>be quiet! Straight Power 11 750W Platinum</t>
  </si>
  <si>
    <t>Platinum / Modulaire</t>
  </si>
  <si>
    <t>be quiet! Straight Power 11 750W Platinum — spécifications partielles</t>
  </si>
  <si>
    <t>Component/PSU/be_quiet_Straight_Power_11_750W_Platinum.json</t>
  </si>
  <si>
    <t>be quiet! Straight Power 12 850W Platinum</t>
  </si>
  <si>
    <t>be quiet! Straight Power 12 850W Platinum — spécifications partielles</t>
  </si>
  <si>
    <t>Component/PSU/be_quiet_Straight_Power_12_850W_Platinum.json</t>
  </si>
  <si>
    <t>be quiet! System Power 9 400W</t>
  </si>
  <si>
    <t>be quiet! System Power 9 400W — spécifications partielles</t>
  </si>
  <si>
    <t>Component/PSU/be_quiet_System_Power_9_400W.json</t>
  </si>
  <si>
    <t>ASUS G11CD-FR022T — boîtier noir/rouge</t>
  </si>
  <si>
    <t>OEM tower</t>
  </si>
  <si>
    <t>ASUS G11CD-FR022T — boîtier noir/rouge — OEM tower</t>
  </si>
  <si>
    <t>Component/Case/ASUS_G11CD_FR022T.json</t>
  </si>
  <si>
    <t>ASUS Prime AP201</t>
  </si>
  <si>
    <t>gaming</t>
  </si>
  <si>
    <t>ASUS Prime AP201 — spécifications partielles</t>
  </si>
  <si>
    <t>Component/Case/ASUS_Prime_AP201.json</t>
  </si>
  <si>
    <t>Cooler Master Elite 110</t>
  </si>
  <si>
    <t>Cooler Master Elite 110 — spécifications partielles</t>
  </si>
  <si>
    <t>Component/Case/Cooler_Master_Elite_110.json</t>
  </si>
  <si>
    <t>Cooler Master MasterBox Q300L</t>
  </si>
  <si>
    <t>Cooler Master MasterBox Q300L — spécifications partielles</t>
  </si>
  <si>
    <t>Component/Case/Cooler_Master_MasterBox_Q300L.json</t>
  </si>
  <si>
    <t>Cooler Master NR200</t>
  </si>
  <si>
    <t>Cooler Master NR200 — spécifications partielles</t>
  </si>
  <si>
    <t>Component/Case/Cooler_Master_NR200.json</t>
  </si>
  <si>
    <t>Corsair 4000D Airflow</t>
  </si>
  <si>
    <t>Corsair 4000D Airflow — spécifications partielles</t>
  </si>
  <si>
    <t>Component/Case/Corsair_4000D_Airflow.json</t>
  </si>
  <si>
    <t>Fractal Design North</t>
  </si>
  <si>
    <t>Fractal Design North — spécifications partielles</t>
  </si>
  <si>
    <t>Component/Case/Fractal_Design_North.json</t>
  </si>
  <si>
    <t>Fractal Design Pop Mini Air</t>
  </si>
  <si>
    <t>Fractal Design Pop Mini Air — spécifications partielles</t>
  </si>
  <si>
    <t>Component/Case/Fractal_Design_Pop_Mini_Air.json</t>
  </si>
  <si>
    <t>Fractal Design Ridge</t>
  </si>
  <si>
    <t>experimental</t>
  </si>
  <si>
    <t>Fractal Design Ridge — spécifications partielles</t>
  </si>
  <si>
    <t>Component/Case/Fractal_Design_Ridge.json</t>
  </si>
  <si>
    <t>Fractal Design Terra</t>
  </si>
  <si>
    <t>Fractal Design Terra — spécifications partielles</t>
  </si>
  <si>
    <t>Component/Case/Fractal_Design_Terra.json</t>
  </si>
  <si>
    <t>Jonsbo D31 Mesh</t>
  </si>
  <si>
    <t>Jonsbo D31 Mesh — spécifications partielles</t>
  </si>
  <si>
    <t>Component/Case/Jonsbo_D31_Mesh.json</t>
  </si>
  <si>
    <t>Lian Li A3-mATX</t>
  </si>
  <si>
    <t>Lian Li A3-mATX — spécifications partielles</t>
  </si>
  <si>
    <t>Component/Case/Lian_Li_A3-mATX.json</t>
  </si>
  <si>
    <t>Lian Li A4-H2O</t>
  </si>
  <si>
    <t>Lian Li A4-H2O — spécifications partielles</t>
  </si>
  <si>
    <t>Component/Case/Lian_Li_A4-H2O.json</t>
  </si>
  <si>
    <t>Lian Li O11 Dynamic EVO</t>
  </si>
  <si>
    <t>Lian Li O11 Dynamic EVO — spécifications partielles</t>
  </si>
  <si>
    <t>Component/Case/Lian_Li_O11_Dynamic_EVO.json</t>
  </si>
  <si>
    <t>NZXT H5 Flow</t>
  </si>
  <si>
    <t>NZXT H5 Flow — spécifications partielles</t>
  </si>
  <si>
    <t>Component/Case/NZXT_H5_Flow.json</t>
  </si>
  <si>
    <t>Phanteks Eclipse G360A</t>
  </si>
  <si>
    <t>Phanteks Eclipse G360A — spécifications partielles</t>
  </si>
  <si>
    <t>Component/Case/Phanteks_Eclipse_G360A.json</t>
  </si>
  <si>
    <t>SilverStone SG13</t>
  </si>
  <si>
    <t>SilverStone SG13 — spécifications partielles</t>
  </si>
  <si>
    <t>Component/Case/SilverStone_SG13.json</t>
  </si>
  <si>
    <t>Thermaltake Core V21</t>
  </si>
  <si>
    <t>Thermaltake Core V21 — spécifications partielles</t>
  </si>
  <si>
    <t>Component/Case/Thermaltake_Core_V21.json</t>
  </si>
  <si>
    <t>be quiet! Pure Base 500</t>
  </si>
  <si>
    <t>be quiet! Pure Base 500 — spécifications partielles</t>
  </si>
  <si>
    <t>Component/Case/be_quiet_Pure_Base_500.json</t>
  </si>
  <si>
    <t>Corsair Vengeance LPX 16GB 2x8 DDR4-3200 CL16</t>
  </si>
  <si>
    <t>Corsair Vengeance LPX 16GB 2x8 DDR4-3200 CL16 — spécifications partielles</t>
  </si>
  <si>
    <t>Component/RAM/Corsair_Vengeance_LPX_16GB_2x8_DDR4-3200_CL16.json</t>
  </si>
  <si>
    <t>Corsair Vengeance LPX 32GB 2x16 DDR4-3600 CL18</t>
  </si>
  <si>
    <t>Corsair Vengeance LPX 32GB 2x16 DDR4-3600 CL18 — spécifications partielles</t>
  </si>
  <si>
    <t>Component/RAM/Corsair_Vengeance_LPX_32GB_2x16_DDR4-3600_CL18.json</t>
  </si>
  <si>
    <t>Corsair Vengeance RGB Pro 16GB 2x8 DDR4-3200 CL16</t>
  </si>
  <si>
    <t>Corsair Vengeance RGB Pro 16GB 2x8 DDR4-3200 CL16 — spécifications partielles</t>
  </si>
  <si>
    <t>Component/RAM/Corsair_Vengeance_RGB_Pro_16GB_2x8_DDR4-3200_CL16.json</t>
  </si>
  <si>
    <t>Crucial Ballistix 16GB 2x8 DDR4-3000 CL15</t>
  </si>
  <si>
    <t>Crucial Ballistix 16GB 2x8 DDR4-3000 CL15 — spécifications partielles</t>
  </si>
  <si>
    <t>Component/RAM/Crucial_Ballistix_16GB_2x8_DDR4-3000_CL15.json</t>
  </si>
  <si>
    <t>G.Skill Ripjaws V 16GB 2x8 DDR4-3200 CL16</t>
  </si>
  <si>
    <t>G.Skill Ripjaws V 16GB 2x8 DDR4-3200 CL16 — spécifications partielles</t>
  </si>
  <si>
    <t>Component/RAM/G_Skill_Ripjaws_V_16GB_2x8_DDR4-3200_CL16.json</t>
  </si>
  <si>
    <t>G.Skill Trident Z Neo 32GB 2x16 DDR4-3600 CL16</t>
  </si>
  <si>
    <t>G.Skill Trident Z Neo 32GB 2x16 DDR4-3600 CL16 — spécifications partielles</t>
  </si>
  <si>
    <t>Component/RAM/G_Skill_Trident_Z_Neo_32GB_2x16_DDR4-3600_CL16.json</t>
  </si>
  <si>
    <t>G.Skill Trident Z RGB 16GB 2x8 DDR4-3600 CL16</t>
  </si>
  <si>
    <t>G.Skill Trident Z RGB 16GB 2x8 DDR4-3600 CL16 — spécifications partielles</t>
  </si>
  <si>
    <t>Component/RAM/G_Skill_Trident_Z_RGB_16GB_2x8_DDR4-3600_CL16.json</t>
  </si>
  <si>
    <t>Kingston FURY Beast 16GB 2x8 DDR4-3200 CL16</t>
  </si>
  <si>
    <t>Kingston FURY Beast 16GB 2x8 DDR4-3200 CL16 — spécifications partielles</t>
  </si>
  <si>
    <t>Component/RAM/Kingston_FURY_Beast_16GB_2x8_DDR4-3200_CL16.json</t>
  </si>
  <si>
    <t>Kingston FURY Beast RGB 16GB 2x8 DDR4-3600 CL18</t>
  </si>
  <si>
    <t>Kingston FURY Beast RGB 16GB 2x8 DDR4-3600 CL18 — spécifications partielles</t>
  </si>
  <si>
    <t>Component/RAM/Kingston_FURY_Beast_RGB_16GB_2x8_DDR4-3600_CL18.json</t>
  </si>
  <si>
    <t>Crucial MX500 1TB</t>
  </si>
  <si>
    <t>2.5 inch</t>
  </si>
  <si>
    <t>Crucial MX500 1TB — 2.5 inch</t>
  </si>
  <si>
    <t>Component/SDD/Crucial_MX500_1TB.json</t>
  </si>
  <si>
    <t>Crucial MX500 250GB</t>
  </si>
  <si>
    <t>Crucial MX500 250GB — 2.5 inch</t>
  </si>
  <si>
    <t>Component/SDD/Crucial_MX500_250GB.json</t>
  </si>
  <si>
    <t>Crucial MX500 500GB</t>
  </si>
  <si>
    <t>Crucial MX500 500GB — 2.5 inch</t>
  </si>
  <si>
    <t>Component/SDD/Crucial_MX500_500GB.json</t>
  </si>
  <si>
    <t>Kingston A400 240GB</t>
  </si>
  <si>
    <t>Kingston A400 240GB — 2.5 inch</t>
  </si>
  <si>
    <t>Component/SDD/Kingston_A400_240GB.json</t>
  </si>
  <si>
    <t>Kingston A400 480GB</t>
  </si>
  <si>
    <t>Kingston A400 480GB — 2.5 inch</t>
  </si>
  <si>
    <t>Component/SDD/Kingston_A400_480GB.json</t>
  </si>
  <si>
    <t>Kingston A400 960GB</t>
  </si>
  <si>
    <t>Kingston A400 960GB — 2.5 inch</t>
  </si>
  <si>
    <t>Component/SDD/Kingston_A400_960GB.json</t>
  </si>
  <si>
    <t>Samsung 870 EVO 1TB</t>
  </si>
  <si>
    <t>Samsung 870 EVO 1TB — 2.5 inch</t>
  </si>
  <si>
    <t>Component/SDD/Samsung_870_EVO_1TB.json</t>
  </si>
  <si>
    <t>Samsung 870 EVO 250GB</t>
  </si>
  <si>
    <t>Samsung 870 EVO 250GB — 2.5 inch</t>
  </si>
  <si>
    <t>Component/SDD/Samsung_870_EVO_250GB.json</t>
  </si>
  <si>
    <t>Samsung 870 EVO 500GB</t>
  </si>
  <si>
    <t>Samsung 870 EVO 500GB — 2.5 inch</t>
  </si>
  <si>
    <t>Component/SDD/Samsung_870_EVO_500GB.json</t>
  </si>
  <si>
    <t>Samsung 870 QVO 2TB</t>
  </si>
  <si>
    <t>Samsung 870 QVO 2TB — 2.5 inch</t>
  </si>
  <si>
    <t>Component/SDD/Samsung_870_QVO_2TB.json</t>
  </si>
  <si>
    <t>Samsung 870 QVO 4TB</t>
  </si>
  <si>
    <t>Samsung 870 QVO 4TB — 2.5 inch</t>
  </si>
  <si>
    <t>Component/SDD/Samsung_870_QVO_4TB.json</t>
  </si>
  <si>
    <t>Corsair MP700 PRO 2TB</t>
  </si>
  <si>
    <t>M.2 2280</t>
  </si>
  <si>
    <t>Corsair MP700 PRO 2TB — M.2 2280</t>
  </si>
  <si>
    <t>Component/NVMe/Corsair_MP700_PRO_2TB.json</t>
  </si>
  <si>
    <t>Crucial P3 1TB</t>
  </si>
  <si>
    <t>Crucial P3 1TB — M.2 2280</t>
  </si>
  <si>
    <t>Component/NVMe/Crucial_P3_1TB.json</t>
  </si>
  <si>
    <t>Crucial P3 Plus 1TB</t>
  </si>
  <si>
    <t>Crucial P3 Plus 1TB — M.2 2280</t>
  </si>
  <si>
    <t>Component/NVMe/Crucial_P3_Plus_1TB.json</t>
  </si>
  <si>
    <t>Crucial P3 Plus 500GB</t>
  </si>
  <si>
    <t>Crucial P3 Plus 500GB — M.2 2280</t>
  </si>
  <si>
    <t>Component/NVMe/Crucial_P3_Plus_500GB.json</t>
  </si>
  <si>
    <t>Crucial T700 1TB</t>
  </si>
  <si>
    <t>Crucial T700 1TB — M.2 2280</t>
  </si>
  <si>
    <t>Component/NVMe/Crucial_T700_1TB.json</t>
  </si>
  <si>
    <t>Crucial T700 2TB</t>
  </si>
  <si>
    <t>Crucial T700 2TB — M.2 2280</t>
  </si>
  <si>
    <t>Component/NVMe/Crucial_T700_2TB.json</t>
  </si>
  <si>
    <t>Samsung 970 EVO Plus 1TB</t>
  </si>
  <si>
    <t>Samsung 970 EVO Plus 1TB — M.2 2280</t>
  </si>
  <si>
    <t>Component/NVMe/Samsung_970_EVO_Plus_1TB.json</t>
  </si>
  <si>
    <t>Samsung 970 EVO Plus 500GB</t>
  </si>
  <si>
    <t>Samsung 970 EVO Plus 500GB — M.2 2280</t>
  </si>
  <si>
    <t>Component/NVMe/Samsung_970_EVO_Plus_500GB.json</t>
  </si>
  <si>
    <t>Samsung 980 PRO 1TB</t>
  </si>
  <si>
    <t>Samsung 980 PRO 1TB — M.2 2280</t>
  </si>
  <si>
    <t>Component/NVMe/Samsung_980_PRO_1TB.json</t>
  </si>
  <si>
    <t>Samsung 990 PRO 1TB</t>
  </si>
  <si>
    <t>Samsung 990 PRO 1TB — M.2 2280</t>
  </si>
  <si>
    <t>Component/NVMe/Samsung_990_PRO_1TB.json</t>
  </si>
  <si>
    <t>WD Black SN750 1TB</t>
  </si>
  <si>
    <t>WD Black SN750 1TB — M.2 2280</t>
  </si>
  <si>
    <t>Component/NVMe/WD_Black_SN750_1TB.json</t>
  </si>
  <si>
    <t>WD Black SN850X 1TB</t>
  </si>
  <si>
    <t>WD Black SN850X 1TB — M.2 2280</t>
  </si>
  <si>
    <t>Component/NVMe/WD_Black_SN850X_1TB.json</t>
  </si>
  <si>
    <t>WD Black SN850X 2TB</t>
  </si>
  <si>
    <t>WD Black SN850X 2TB — M.2 2280</t>
  </si>
  <si>
    <t>Component/NVMe/WD_Black_SN850X_2TB.json</t>
  </si>
  <si>
    <t>HGST Ultrastar C10K900 900GB</t>
  </si>
  <si>
    <t>HGST Ultrastar C10K900 900GB — 900</t>
  </si>
  <si>
    <t>Component/HDD/HGST_Ultrastar_C10K900_900GB.json</t>
  </si>
  <si>
    <t>Seagate BarraCuda 2TB ST2000DM008</t>
  </si>
  <si>
    <t>Seagate BarraCuda 2TB ST2000DM008 — 2000</t>
  </si>
  <si>
    <t>Component/HDD/Seagate_BarraCuda_2TB_ST2000DM008.json</t>
  </si>
  <si>
    <t>Seagate Enterprise Performance 10K HDD 1.2TB</t>
  </si>
  <si>
    <t>Seagate Enterprise Performance 10K HDD 1.2TB — 1200</t>
  </si>
  <si>
    <t>Component/HDD/Seagate_Enterprise_Performance_10K_HDD_1_2TB.json</t>
  </si>
  <si>
    <t>Seagate IronWolf Pro 8TB ST8000NE001</t>
  </si>
  <si>
    <t>Seagate IronWolf Pro 8TB ST8000NE001 — 8000</t>
  </si>
  <si>
    <t>Component/HDD/Seagate_IronWolf_Pro_8TB_ST8000NE001.json</t>
  </si>
  <si>
    <t>WD Black 4TB WD4005FZBX</t>
  </si>
  <si>
    <t>WD Black 4TB WD4005FZBX — 4000</t>
  </si>
  <si>
    <t>Component/HDD/WD_Black_4TB_WD4005FZBX.json</t>
  </si>
  <si>
    <t>WD Blue 1TB WD10EZEX</t>
  </si>
  <si>
    <t>WD Blue 1TB WD10EZEX — 1000</t>
  </si>
  <si>
    <t>Component/HDD/WD_Blue_1TB_WD10EZEX.json</t>
  </si>
  <si>
    <t>WD Gold 10TB WD102KRYZ</t>
  </si>
  <si>
    <t>WD Gold 10TB WD102KRYZ — 10000</t>
  </si>
  <si>
    <t>Component/HDD/WD_Gold_10TB_WD102KRYZ.json</t>
  </si>
  <si>
    <t>WD Red Pro 6TB WD6003FFBX</t>
  </si>
  <si>
    <t>WD Red Pro 6TB WD6003FFBX — 6000</t>
  </si>
  <si>
    <t>Component/HDD/WD_Red_Pro_6TB_WD6003FFBX.json</t>
  </si>
  <si>
    <t>Prix payé €</t>
  </si>
  <si>
    <t>Total payé €</t>
  </si>
  <si>
    <t>Budget réel</t>
  </si>
  <si>
    <t>EUR</t>
  </si>
  <si>
    <t>Acquisitions</t>
  </si>
  <si>
    <t>Frais de port acquis</t>
  </si>
  <si>
    <t>Total frais inclus</t>
  </si>
  <si>
    <t>Règle</t>
  </si>
  <si>
    <t>Explication</t>
  </si>
  <si>
    <t>Source unique</t>
  </si>
  <si>
    <t>Component/&lt;Catégorie&gt;/*.json</t>
  </si>
  <si>
    <t>Mettre à jour</t>
  </si>
  <si>
    <t>python3 scripts/export_catalogue.py</t>
  </si>
  <si>
    <t>Prix moyen neuf</t>
  </si>
  <si>
    <t>Uniquement après vérification de 10 offres, sinon vide</t>
  </si>
  <si>
    <t>Prix moyen occasion</t>
  </si>
  <si>
    <t>Uniquement après vérification de 20 offres, sinon vide</t>
  </si>
  <si>
    <t>Éditions manuelles</t>
  </si>
  <si>
    <t>Configuration.xlsx reste conservé ; cet export est régénéré</t>
  </si>
  <si>
    <t>Chemin Asset présent quand l'image existe et est réutilisable</t>
  </si>
  <si>
    <t>Manquants</t>
  </si>
  <si>
    <t>Voir CATALOGUE_MANQUANTS.md</t>
  </si>
</sst>
</file>

<file path=xl/styles.xml><?xml version="1.0" encoding="utf-8"?>
<styleSheet xmlns="http://schemas.openxmlformats.org/spreadsheetml/2006/main">
  <numFmts count="1">
    <numFmt numFmtId="164" formatCode="#,##0.00 &quot;€&quot;"/>
  </numFmts>
  <fonts count="4">
    <font>
      <sz val="11"/>
      <color theme="1"/>
      <name val="Calibri"/>
      <family val="2"/>
      <scheme val="minor"/>
    </font>
    <font>
      <b/>
      <sz val="20"/>
      <color rgb="FFF04459"/>
      <name val="Calibri"/>
      <family val="2"/>
      <scheme val="minor"/>
    </font>
    <font>
      <b/>
      <sz val="11"/>
      <color rgb="FFFFFFFF"/>
      <name val="Calibri"/>
      <family val="2"/>
      <scheme val="minor"/>
    </font>
    <font>
      <sz val="11"/>
      <color rgb="FF202A3A"/>
      <name val="Calibri"/>
      <family val="2"/>
      <scheme val="minor"/>
    </font>
  </fonts>
  <fills count="4">
    <fill>
      <patternFill patternType="none"/>
    </fill>
    <fill>
      <patternFill patternType="gray125"/>
    </fill>
    <fill>
      <patternFill patternType="solid">
        <fgColor rgb="FF121C30"/>
        <bgColor indexed="64"/>
      </patternFill>
    </fill>
    <fill>
      <patternFill patternType="solid">
        <fgColor rgb="FFEFF2F7"/>
        <bgColor indexed="64"/>
      </patternFill>
    </fill>
  </fills>
  <borders count="2">
    <border>
      <left/>
      <right/>
      <top/>
      <bottom/>
      <diagonal/>
    </border>
    <border>
      <left/>
      <right/>
      <top/>
      <bottom style="medium">
        <color rgb="FFF04459"/>
      </bottom>
      <diagonal/>
    </border>
  </borders>
  <cellStyleXfs count="1">
    <xf numFmtId="0" fontId="0" fillId="0" borderId="0"/>
  </cellStyleXfs>
  <cellXfs count="6">
    <xf numFmtId="0" fontId="0" fillId="0" borderId="0" xfId="0"/>
    <xf numFmtId="0" fontId="1" fillId="0" borderId="0" xfId="0" applyFont="1"/>
    <xf numFmtId="0" fontId="2" fillId="2" borderId="1" xfId="0" applyFont="1" applyFill="1" applyBorder="1"/>
    <xf numFmtId="0" fontId="3" fillId="0" borderId="0" xfId="0" applyFont="1"/>
    <xf numFmtId="0" fontId="3" fillId="3"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Répartition du catalogue</a:t>
            </a:r>
          </a:p>
        </c:rich>
      </c:tx>
      <c:layout/>
    </c:title>
    <c:plotArea>
      <c:layout/>
      <c:barChart>
        <c:barDir val="bar"/>
        <c:grouping val="clustered"/>
        <c:ser>
          <c:idx val="0"/>
          <c:order val="0"/>
          <c:tx>
            <c:v>Références</c:v>
          </c:tx>
          <c:spPr>
            <a:solidFill>
              <a:srgbClr val="E53955"/>
            </a:solidFill>
          </c:spPr>
          <c:cat>
            <c:strRef>
              <c:f>'TABLEAU DE BORD'!$A$4:$A$14</c:f>
              <c:strCache>
                <c:ptCount val="11"/>
                <c:pt idx="0">
                  <c:v>GPU</c:v>
                </c:pt>
                <c:pt idx="1">
                  <c:v>CPU</c:v>
                </c:pt>
                <c:pt idx="2">
                  <c:v>Motherboard</c:v>
                </c:pt>
                <c:pt idx="3">
                  <c:v>PSU</c:v>
                </c:pt>
                <c:pt idx="4">
                  <c:v>Case</c:v>
                </c:pt>
                <c:pt idx="5">
                  <c:v>RAM</c:v>
                </c:pt>
                <c:pt idx="6">
                  <c:v>SDD</c:v>
                </c:pt>
                <c:pt idx="7">
                  <c:v>NVMe</c:v>
                </c:pt>
                <c:pt idx="8">
                  <c:v>HDD</c:v>
                </c:pt>
                <c:pt idx="9">
                  <c:v>Extra</c:v>
                </c:pt>
                <c:pt idx="10">
                  <c:v>Cooling</c:v>
                </c:pt>
              </c:strCache>
            </c:strRef>
          </c:cat>
          <c:val>
            <c:numRef>
              <c:f>'TABLEAU DE BORD'!$B$4:$B$14</c:f>
              <c:numCache>
                <c:formatCode>General</c:formatCode>
                <c:ptCount val="11"/>
                <c:pt idx="0">
                  <c:v>46</c:v>
                </c:pt>
                <c:pt idx="1">
                  <c:v>34</c:v>
                </c:pt>
                <c:pt idx="2">
                  <c:v>31</c:v>
                </c:pt>
                <c:pt idx="3">
                  <c:v>15</c:v>
                </c:pt>
                <c:pt idx="4">
                  <c:v>19</c:v>
                </c:pt>
                <c:pt idx="5">
                  <c:v>9</c:v>
                </c:pt>
                <c:pt idx="6">
                  <c:v>11</c:v>
                </c:pt>
                <c:pt idx="7">
                  <c:v>13</c:v>
                </c:pt>
                <c:pt idx="8">
                  <c:v>8</c:v>
                </c:pt>
                <c:pt idx="9">
                  <c:v>0</c:v>
                </c:pt>
                <c:pt idx="10">
                  <c:v>0</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vidia.com/fr-fr/geforce/graphics-cards/30-series/rtx-3060-3060ti/" TargetMode="External"/><Relationship Id="rId2" Type="http://schemas.openxmlformats.org/officeDocument/2006/relationships/hyperlink" Target="Assets\CPU\CPU%20-%20AMD%20Ryzen%205%201600.jpg" TargetMode="External"/><Relationship Id="rId3" Type="http://schemas.openxmlformats.org/officeDocument/2006/relationships/hyperlink" Target="https://ir.amd.com/news-events/press-releases/detail/762/worldwide-release-of-amd-ryzen-5-desktop-processors-for-gamers-and-creators-marks-arrival-of-markets-highest-performance-6-core-processor" TargetMode="External"/><Relationship Id="rId4" Type="http://schemas.openxmlformats.org/officeDocument/2006/relationships/hyperlink" Target="Assets\CPU\CPU%20-%20AMD%20Ryzen%205%202600.jpg" TargetMode="External"/><Relationship Id="rId5" Type="http://schemas.openxmlformats.org/officeDocument/2006/relationships/hyperlink" Target="Assets\CPU\CPU%20-%20AMD%20Ryzen%205%203600.jpg" TargetMode="External"/><Relationship Id="rId6" Type="http://schemas.openxmlformats.org/officeDocument/2006/relationships/hyperlink" Target="Assets\CPU\CPU%20-%20AMD%20Ryzen%205%205600X.jpg" TargetMode="External"/><Relationship Id="rId7" Type="http://schemas.openxmlformats.org/officeDocument/2006/relationships/hyperlink" Target="Assets\CPU\CPU%20-%20AMD%20Ryzen%205%205600X.jpg" TargetMode="External"/><Relationship Id="rId8" Type="http://schemas.openxmlformats.org/officeDocument/2006/relationships/hyperlink" Target="https://www.amd.com/fr/products/processors/desktops/ryzen/5000-series/amd-ryzen-5-5600x.html" TargetMode="External"/><Relationship Id="rId9" Type="http://schemas.openxmlformats.org/officeDocument/2006/relationships/hyperlink" Target="Assets\CPU\CPU%20-%20AMD%20Ryzen%205%207600.jpg" TargetMode="External"/><Relationship Id="rId10" Type="http://schemas.openxmlformats.org/officeDocument/2006/relationships/hyperlink" Target="https://www.asrock.com/mb/AMD/B550M-ITXac/index.fr.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vidia.com/fr-fr/geforce/graphics-cards/30-series/rtx-3060-3060t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ssets\CPU\CPU%20-%20AMD%20Ryzen%205%201600.jpg" TargetMode="External"/><Relationship Id="rId2" Type="http://schemas.openxmlformats.org/officeDocument/2006/relationships/hyperlink" Target="https://ir.amd.com/news-events/press-releases/detail/762/worldwide-release-of-amd-ryzen-5-desktop-processors-for-gamers-and-creators-marks-arrival-of-markets-highest-performance-6-core-processor" TargetMode="External"/><Relationship Id="rId3" Type="http://schemas.openxmlformats.org/officeDocument/2006/relationships/hyperlink" Target="Assets\CPU\CPU%20-%20AMD%20Ryzen%205%202600.jpg" TargetMode="External"/><Relationship Id="rId4" Type="http://schemas.openxmlformats.org/officeDocument/2006/relationships/hyperlink" Target="Assets\CPU\CPU%20-%20AMD%20Ryzen%205%203600.jpg" TargetMode="External"/><Relationship Id="rId5" Type="http://schemas.openxmlformats.org/officeDocument/2006/relationships/hyperlink" Target="Assets\CPU\CPU%20-%20AMD%20Ryzen%205%205600X.jpg" TargetMode="External"/><Relationship Id="rId6" Type="http://schemas.openxmlformats.org/officeDocument/2006/relationships/hyperlink" Target="Assets\CPU\CPU%20-%20AMD%20Ryzen%205%205600X.jpg" TargetMode="External"/><Relationship Id="rId7" Type="http://schemas.openxmlformats.org/officeDocument/2006/relationships/hyperlink" Target="https://www.amd.com/fr/products/processors/desktops/ryzen/5000-series/amd-ryzen-5-5600x.html" TargetMode="External"/><Relationship Id="rId8" Type="http://schemas.openxmlformats.org/officeDocument/2006/relationships/hyperlink" Target="Assets\CPU\CPU%20-%20AMD%20Ryzen%205%207600.jp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srock.com/mb/AMD/B550M-ITXac/index.fr.asp" TargetMode="External"/></Relationships>
</file>

<file path=xl/worksheets/sheet1.xml><?xml version="1.0" encoding="utf-8"?>
<worksheet xmlns="http://schemas.openxmlformats.org/spreadsheetml/2006/main" xmlns:r="http://schemas.openxmlformats.org/officeDocument/2006/relationships">
  <dimension ref="A1:B17"/>
  <sheetViews>
    <sheetView showGridLines="0" tabSelected="1" workbookViewId="0"/>
  </sheetViews>
  <sheetFormatPr defaultRowHeight="15"/>
  <cols>
    <col min="1" max="1" width="38.7109375" customWidth="1"/>
    <col min="2" max="2" width="22.7109375" customWidth="1"/>
  </cols>
  <sheetData>
    <row r="1" spans="1:2">
      <c r="A1" s="1" t="s">
        <v>0</v>
      </c>
    </row>
    <row r="3" spans="1:2">
      <c r="A3" s="2" t="s">
        <v>1</v>
      </c>
      <c r="B3" s="2" t="s">
        <v>2</v>
      </c>
    </row>
    <row r="4" spans="1:2">
      <c r="A4" s="3" t="s">
        <v>3</v>
      </c>
      <c r="B4" s="3">
        <v>46</v>
      </c>
    </row>
    <row r="5" spans="1:2">
      <c r="A5" s="3" t="s">
        <v>4</v>
      </c>
      <c r="B5" s="3">
        <v>34</v>
      </c>
    </row>
    <row r="6" spans="1:2">
      <c r="A6" s="3" t="s">
        <v>5</v>
      </c>
      <c r="B6" s="3">
        <v>31</v>
      </c>
    </row>
    <row r="7" spans="1:2">
      <c r="A7" s="3" t="s">
        <v>6</v>
      </c>
      <c r="B7" s="3">
        <v>15</v>
      </c>
    </row>
    <row r="8" spans="1:2">
      <c r="A8" s="3" t="s">
        <v>7</v>
      </c>
      <c r="B8" s="3">
        <v>19</v>
      </c>
    </row>
    <row r="9" spans="1:2">
      <c r="A9" s="3" t="s">
        <v>8</v>
      </c>
      <c r="B9" s="3">
        <v>9</v>
      </c>
    </row>
    <row r="10" spans="1:2">
      <c r="A10" s="3" t="s">
        <v>9</v>
      </c>
      <c r="B10" s="3">
        <v>11</v>
      </c>
    </row>
    <row r="11" spans="1:2">
      <c r="A11" s="3" t="s">
        <v>10</v>
      </c>
      <c r="B11" s="3">
        <v>13</v>
      </c>
    </row>
    <row r="12" spans="1:2">
      <c r="A12" s="3" t="s">
        <v>11</v>
      </c>
      <c r="B12" s="3">
        <v>8</v>
      </c>
    </row>
    <row r="13" spans="1:2">
      <c r="A13" s="3" t="s">
        <v>12</v>
      </c>
      <c r="B13" s="3">
        <v>0</v>
      </c>
    </row>
    <row r="14" spans="1:2">
      <c r="A14" s="3" t="s">
        <v>13</v>
      </c>
      <c r="B14" s="3">
        <v>0</v>
      </c>
    </row>
    <row r="17" spans="1:2">
      <c r="A17" s="2" t="s">
        <v>14</v>
      </c>
      <c r="B17" s="3">
        <v>186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S18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42.7109375" customWidth="1"/>
    <col min="3" max="3" width="20.7109375" customWidth="1"/>
    <col min="4" max="7" width="15.7109375" customWidth="1"/>
    <col min="8" max="8" width="90.7109375" customWidth="1"/>
    <col min="9" max="15" width="18.7109375" customWidth="1"/>
    <col min="16" max="17" width="65.7109375" customWidth="1"/>
    <col min="18" max="18" width="68.7109375" customWidth="1"/>
  </cols>
  <sheetData>
    <row r="1" spans="1:19" ht="32.25" customHeight="1">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2" t="s">
        <v>33</v>
      </c>
    </row>
    <row r="2" spans="1:19">
      <c r="A2" s="3" t="s">
        <v>3</v>
      </c>
      <c r="B2" s="3" t="s">
        <v>34</v>
      </c>
      <c r="H2" s="3">
        <v>8</v>
      </c>
      <c r="I2" s="3" t="s">
        <v>35</v>
      </c>
      <c r="K2" s="3">
        <v>0</v>
      </c>
      <c r="M2" s="3">
        <v>0</v>
      </c>
      <c r="P2" s="3" t="s">
        <v>36</v>
      </c>
      <c r="S2" s="3" t="s">
        <v>37</v>
      </c>
    </row>
    <row r="3" spans="1:19">
      <c r="A3" s="4" t="s">
        <v>3</v>
      </c>
      <c r="B3" s="4" t="s">
        <v>38</v>
      </c>
      <c r="H3" s="3">
        <v>8</v>
      </c>
      <c r="I3" s="4" t="s">
        <v>35</v>
      </c>
      <c r="K3" s="3">
        <v>0</v>
      </c>
      <c r="M3" s="3">
        <v>0</v>
      </c>
      <c r="P3" s="4" t="s">
        <v>36</v>
      </c>
      <c r="S3" s="4" t="s">
        <v>39</v>
      </c>
    </row>
    <row r="4" spans="1:19">
      <c r="A4" s="3" t="s">
        <v>3</v>
      </c>
      <c r="B4" s="3" t="s">
        <v>40</v>
      </c>
      <c r="H4" s="3">
        <v>8</v>
      </c>
      <c r="I4" s="3" t="s">
        <v>41</v>
      </c>
      <c r="K4" s="3">
        <v>0</v>
      </c>
      <c r="M4" s="3">
        <v>0</v>
      </c>
      <c r="P4" s="3" t="s">
        <v>36</v>
      </c>
      <c r="S4" s="3" t="s">
        <v>42</v>
      </c>
    </row>
    <row r="5" spans="1:19">
      <c r="A5" s="4" t="s">
        <v>3</v>
      </c>
      <c r="B5" s="4" t="s">
        <v>43</v>
      </c>
      <c r="H5" s="3">
        <v>8</v>
      </c>
      <c r="I5" s="4" t="s">
        <v>44</v>
      </c>
      <c r="K5" s="3">
        <v>0</v>
      </c>
      <c r="M5" s="3">
        <v>0</v>
      </c>
      <c r="P5" s="4" t="s">
        <v>36</v>
      </c>
      <c r="S5" s="4" t="s">
        <v>45</v>
      </c>
    </row>
    <row r="6" spans="1:19">
      <c r="A6" s="3" t="s">
        <v>3</v>
      </c>
      <c r="B6" s="3" t="s">
        <v>46</v>
      </c>
      <c r="H6" s="3">
        <v>8</v>
      </c>
      <c r="I6" s="3" t="s">
        <v>44</v>
      </c>
      <c r="K6" s="3">
        <v>0</v>
      </c>
      <c r="M6" s="3">
        <v>0</v>
      </c>
      <c r="P6" s="3" t="s">
        <v>36</v>
      </c>
      <c r="S6" s="3" t="s">
        <v>47</v>
      </c>
    </row>
    <row r="7" spans="1:19">
      <c r="A7" s="4" t="s">
        <v>3</v>
      </c>
      <c r="B7" s="4" t="s">
        <v>48</v>
      </c>
      <c r="H7" s="3">
        <v>8</v>
      </c>
      <c r="I7" s="4" t="s">
        <v>44</v>
      </c>
      <c r="K7" s="3">
        <v>0</v>
      </c>
      <c r="M7" s="3">
        <v>0</v>
      </c>
      <c r="P7" s="4" t="s">
        <v>36</v>
      </c>
      <c r="S7" s="4" t="s">
        <v>49</v>
      </c>
    </row>
    <row r="8" spans="1:19">
      <c r="A8" s="3" t="s">
        <v>3</v>
      </c>
      <c r="B8" s="3" t="s">
        <v>50</v>
      </c>
      <c r="H8" s="3">
        <v>10</v>
      </c>
      <c r="I8" s="3" t="s">
        <v>51</v>
      </c>
      <c r="K8" s="3">
        <v>0</v>
      </c>
      <c r="M8" s="3">
        <v>0</v>
      </c>
      <c r="P8" s="3" t="s">
        <v>36</v>
      </c>
      <c r="S8" s="3" t="s">
        <v>52</v>
      </c>
    </row>
    <row r="9" spans="1:19">
      <c r="A9" s="4" t="s">
        <v>3</v>
      </c>
      <c r="B9" s="4" t="s">
        <v>53</v>
      </c>
      <c r="H9" s="3">
        <v>12</v>
      </c>
      <c r="I9" s="4" t="s">
        <v>54</v>
      </c>
      <c r="K9" s="3">
        <v>0</v>
      </c>
      <c r="M9" s="3">
        <v>0</v>
      </c>
      <c r="P9" s="4" t="s">
        <v>36</v>
      </c>
      <c r="S9" s="4" t="s">
        <v>55</v>
      </c>
    </row>
    <row r="10" spans="1:19">
      <c r="A10" s="3" t="s">
        <v>3</v>
      </c>
      <c r="B10" s="3" t="s">
        <v>56</v>
      </c>
      <c r="H10" s="3">
        <v>12</v>
      </c>
      <c r="I10" s="3" t="s">
        <v>54</v>
      </c>
      <c r="K10" s="3">
        <v>0</v>
      </c>
      <c r="M10" s="3">
        <v>0</v>
      </c>
      <c r="P10" s="3" t="s">
        <v>36</v>
      </c>
      <c r="S10" s="3" t="s">
        <v>57</v>
      </c>
    </row>
    <row r="11" spans="1:19">
      <c r="A11" s="4" t="s">
        <v>3</v>
      </c>
      <c r="B11" s="4" t="s">
        <v>58</v>
      </c>
      <c r="H11" s="3">
        <v>16</v>
      </c>
      <c r="I11" s="4" t="s">
        <v>59</v>
      </c>
      <c r="K11" s="3">
        <v>0</v>
      </c>
      <c r="M11" s="3">
        <v>0</v>
      </c>
      <c r="P11" s="4" t="s">
        <v>36</v>
      </c>
      <c r="S11" s="4" t="s">
        <v>60</v>
      </c>
    </row>
    <row r="12" spans="1:19">
      <c r="A12" s="3" t="s">
        <v>3</v>
      </c>
      <c r="B12" s="3" t="s">
        <v>61</v>
      </c>
      <c r="H12" s="3">
        <v>16</v>
      </c>
      <c r="I12" s="3" t="s">
        <v>59</v>
      </c>
      <c r="K12" s="3">
        <v>0</v>
      </c>
      <c r="M12" s="3">
        <v>0</v>
      </c>
      <c r="P12" s="3" t="s">
        <v>36</v>
      </c>
      <c r="S12" s="3" t="s">
        <v>62</v>
      </c>
    </row>
    <row r="13" spans="1:19">
      <c r="A13" s="4" t="s">
        <v>3</v>
      </c>
      <c r="B13" s="4" t="s">
        <v>63</v>
      </c>
      <c r="H13" s="3">
        <v>16</v>
      </c>
      <c r="I13" s="4" t="s">
        <v>59</v>
      </c>
      <c r="K13" s="3">
        <v>0</v>
      </c>
      <c r="M13" s="3">
        <v>0</v>
      </c>
      <c r="P13" s="4" t="s">
        <v>36</v>
      </c>
      <c r="S13" s="4" t="s">
        <v>64</v>
      </c>
    </row>
    <row r="14" spans="1:19">
      <c r="A14" s="3" t="s">
        <v>3</v>
      </c>
      <c r="B14" s="3" t="s">
        <v>65</v>
      </c>
      <c r="H14" s="3">
        <v>16</v>
      </c>
      <c r="I14" s="3" t="s">
        <v>59</v>
      </c>
      <c r="K14" s="3">
        <v>0</v>
      </c>
      <c r="M14" s="3">
        <v>0</v>
      </c>
      <c r="P14" s="3" t="s">
        <v>36</v>
      </c>
      <c r="S14" s="3" t="s">
        <v>66</v>
      </c>
    </row>
    <row r="15" spans="1:19">
      <c r="A15" s="4" t="s">
        <v>3</v>
      </c>
      <c r="B15" s="4" t="s">
        <v>67</v>
      </c>
      <c r="H15" s="3">
        <v>8</v>
      </c>
      <c r="I15" s="4" t="s">
        <v>44</v>
      </c>
      <c r="K15" s="3">
        <v>0</v>
      </c>
      <c r="M15" s="3">
        <v>0</v>
      </c>
      <c r="P15" s="4" t="s">
        <v>36</v>
      </c>
      <c r="S15" s="4" t="s">
        <v>68</v>
      </c>
    </row>
    <row r="16" spans="1:19">
      <c r="A16" s="3" t="s">
        <v>3</v>
      </c>
      <c r="B16" s="3" t="s">
        <v>69</v>
      </c>
      <c r="H16" s="3">
        <v>16</v>
      </c>
      <c r="I16" s="3" t="s">
        <v>70</v>
      </c>
      <c r="K16" s="3">
        <v>0</v>
      </c>
      <c r="M16" s="3">
        <v>0</v>
      </c>
      <c r="P16" s="3" t="s">
        <v>36</v>
      </c>
      <c r="S16" s="3" t="s">
        <v>71</v>
      </c>
    </row>
    <row r="17" spans="1:19">
      <c r="A17" s="4" t="s">
        <v>3</v>
      </c>
      <c r="B17" s="4" t="s">
        <v>72</v>
      </c>
      <c r="H17" s="3">
        <v>12</v>
      </c>
      <c r="I17" s="4" t="s">
        <v>54</v>
      </c>
      <c r="K17" s="3">
        <v>0</v>
      </c>
      <c r="M17" s="3">
        <v>0</v>
      </c>
      <c r="P17" s="4" t="s">
        <v>36</v>
      </c>
      <c r="S17" s="4" t="s">
        <v>73</v>
      </c>
    </row>
    <row r="18" spans="1:19">
      <c r="A18" s="3" t="s">
        <v>3</v>
      </c>
      <c r="B18" s="3" t="s">
        <v>74</v>
      </c>
      <c r="H18" s="3">
        <v>16</v>
      </c>
      <c r="I18" s="3" t="s">
        <v>59</v>
      </c>
      <c r="K18" s="3">
        <v>0</v>
      </c>
      <c r="M18" s="3">
        <v>0</v>
      </c>
      <c r="P18" s="3" t="s">
        <v>36</v>
      </c>
      <c r="S18" s="3" t="s">
        <v>75</v>
      </c>
    </row>
    <row r="19" spans="1:19">
      <c r="A19" s="4" t="s">
        <v>3</v>
      </c>
      <c r="B19" s="4" t="s">
        <v>76</v>
      </c>
      <c r="H19" s="3">
        <v>16</v>
      </c>
      <c r="I19" s="4" t="s">
        <v>59</v>
      </c>
      <c r="K19" s="3">
        <v>0</v>
      </c>
      <c r="M19" s="3">
        <v>0</v>
      </c>
      <c r="P19" s="4" t="s">
        <v>36</v>
      </c>
      <c r="S19" s="4" t="s">
        <v>77</v>
      </c>
    </row>
    <row r="20" spans="1:19">
      <c r="A20" s="3" t="s">
        <v>3</v>
      </c>
      <c r="B20" s="3" t="s">
        <v>78</v>
      </c>
      <c r="H20" s="3">
        <v>20</v>
      </c>
      <c r="I20" s="3" t="s">
        <v>79</v>
      </c>
      <c r="K20" s="3">
        <v>0</v>
      </c>
      <c r="M20" s="3">
        <v>0</v>
      </c>
      <c r="P20" s="3" t="s">
        <v>36</v>
      </c>
      <c r="S20" s="3" t="s">
        <v>80</v>
      </c>
    </row>
    <row r="21" spans="1:19">
      <c r="A21" s="4" t="s">
        <v>3</v>
      </c>
      <c r="B21" s="4" t="s">
        <v>81</v>
      </c>
      <c r="H21" s="3">
        <v>24</v>
      </c>
      <c r="I21" s="4" t="s">
        <v>82</v>
      </c>
      <c r="K21" s="3">
        <v>0</v>
      </c>
      <c r="M21" s="3">
        <v>0</v>
      </c>
      <c r="P21" s="4" t="s">
        <v>36</v>
      </c>
      <c r="S21" s="4" t="s">
        <v>83</v>
      </c>
    </row>
    <row r="22" spans="1:19">
      <c r="A22" s="3" t="s">
        <v>3</v>
      </c>
      <c r="B22" s="3" t="s">
        <v>84</v>
      </c>
      <c r="H22" s="3">
        <v>16</v>
      </c>
      <c r="I22" s="3" t="s">
        <v>70</v>
      </c>
      <c r="K22" s="3">
        <v>0</v>
      </c>
      <c r="M22" s="3">
        <v>0</v>
      </c>
      <c r="P22" s="3" t="s">
        <v>36</v>
      </c>
      <c r="S22" s="3" t="s">
        <v>85</v>
      </c>
    </row>
    <row r="23" spans="1:19">
      <c r="A23" s="4" t="s">
        <v>3</v>
      </c>
      <c r="B23" s="4" t="s">
        <v>86</v>
      </c>
      <c r="H23" s="3">
        <v>16</v>
      </c>
      <c r="I23" s="4" t="s">
        <v>59</v>
      </c>
      <c r="K23" s="3">
        <v>0</v>
      </c>
      <c r="M23" s="3">
        <v>0</v>
      </c>
      <c r="P23" s="4" t="s">
        <v>36</v>
      </c>
      <c r="S23" s="4" t="s">
        <v>87</v>
      </c>
    </row>
    <row r="24" spans="1:19">
      <c r="A24" s="3" t="s">
        <v>3</v>
      </c>
      <c r="B24" s="3" t="s">
        <v>88</v>
      </c>
      <c r="H24" s="3">
        <v>16</v>
      </c>
      <c r="I24" s="3" t="s">
        <v>59</v>
      </c>
      <c r="K24" s="3">
        <v>0</v>
      </c>
      <c r="M24" s="3">
        <v>0</v>
      </c>
      <c r="P24" s="3" t="s">
        <v>36</v>
      </c>
      <c r="S24" s="3" t="s">
        <v>89</v>
      </c>
    </row>
    <row r="25" spans="1:19">
      <c r="A25" s="4" t="s">
        <v>3</v>
      </c>
      <c r="B25" s="4" t="s">
        <v>90</v>
      </c>
      <c r="H25" s="3">
        <v>11</v>
      </c>
      <c r="I25" s="4" t="s">
        <v>91</v>
      </c>
      <c r="K25" s="3">
        <v>0</v>
      </c>
      <c r="M25" s="3">
        <v>0</v>
      </c>
      <c r="P25" s="4" t="s">
        <v>36</v>
      </c>
      <c r="Q25" s="3" t="s">
        <v>92</v>
      </c>
      <c r="S25" s="4" t="s">
        <v>93</v>
      </c>
    </row>
    <row r="26" spans="1:19">
      <c r="A26" s="3" t="s">
        <v>3</v>
      </c>
      <c r="B26" s="3" t="s">
        <v>94</v>
      </c>
      <c r="H26" s="3">
        <v>8</v>
      </c>
      <c r="I26" s="3" t="s">
        <v>35</v>
      </c>
      <c r="K26" s="3">
        <v>0</v>
      </c>
      <c r="M26" s="3">
        <v>0</v>
      </c>
      <c r="P26" s="3" t="s">
        <v>36</v>
      </c>
      <c r="S26" s="3" t="s">
        <v>95</v>
      </c>
    </row>
    <row r="27" spans="1:19">
      <c r="A27" s="4" t="s">
        <v>3</v>
      </c>
      <c r="B27" s="4" t="s">
        <v>96</v>
      </c>
      <c r="H27" s="3">
        <v>8</v>
      </c>
      <c r="I27" s="4" t="s">
        <v>35</v>
      </c>
      <c r="K27" s="3">
        <v>0</v>
      </c>
      <c r="M27" s="3">
        <v>0</v>
      </c>
      <c r="P27" s="4" t="s">
        <v>36</v>
      </c>
      <c r="S27" s="4" t="s">
        <v>97</v>
      </c>
    </row>
    <row r="28" spans="1:19">
      <c r="A28" s="3" t="s">
        <v>3</v>
      </c>
      <c r="B28" s="3" t="s">
        <v>98</v>
      </c>
      <c r="H28" s="3">
        <v>8</v>
      </c>
      <c r="I28" s="3" t="s">
        <v>35</v>
      </c>
      <c r="K28" s="3">
        <v>0</v>
      </c>
      <c r="M28" s="3">
        <v>0</v>
      </c>
      <c r="P28" s="3" t="s">
        <v>36</v>
      </c>
      <c r="S28" s="3" t="s">
        <v>99</v>
      </c>
    </row>
    <row r="29" spans="1:19">
      <c r="A29" s="4" t="s">
        <v>3</v>
      </c>
      <c r="B29" s="4" t="s">
        <v>100</v>
      </c>
      <c r="H29" s="3">
        <v>8</v>
      </c>
      <c r="I29" s="4" t="s">
        <v>35</v>
      </c>
      <c r="K29" s="3">
        <v>0</v>
      </c>
      <c r="M29" s="3">
        <v>0</v>
      </c>
      <c r="P29" s="4" t="s">
        <v>36</v>
      </c>
      <c r="S29" s="4" t="s">
        <v>101</v>
      </c>
    </row>
    <row r="30" spans="1:19">
      <c r="A30" s="3" t="s">
        <v>3</v>
      </c>
      <c r="B30" s="3" t="s">
        <v>102</v>
      </c>
      <c r="H30" s="3">
        <v>8</v>
      </c>
      <c r="I30" s="3" t="s">
        <v>35</v>
      </c>
      <c r="K30" s="3">
        <v>0</v>
      </c>
      <c r="M30" s="3">
        <v>0</v>
      </c>
      <c r="P30" s="3" t="s">
        <v>36</v>
      </c>
      <c r="S30" s="3" t="s">
        <v>103</v>
      </c>
    </row>
    <row r="31" spans="1:19">
      <c r="A31" s="4" t="s">
        <v>3</v>
      </c>
      <c r="B31" s="4" t="s">
        <v>104</v>
      </c>
      <c r="H31" s="3">
        <v>11</v>
      </c>
      <c r="I31" s="4" t="s">
        <v>91</v>
      </c>
      <c r="K31" s="3">
        <v>0</v>
      </c>
      <c r="M31" s="3">
        <v>0</v>
      </c>
      <c r="P31" s="4" t="s">
        <v>36</v>
      </c>
      <c r="S31" s="4" t="s">
        <v>105</v>
      </c>
    </row>
    <row r="32" spans="1:19">
      <c r="A32" s="3" t="s">
        <v>3</v>
      </c>
      <c r="B32" s="3" t="s">
        <v>106</v>
      </c>
      <c r="H32" s="3">
        <v>12</v>
      </c>
      <c r="I32" s="3" t="s">
        <v>107</v>
      </c>
      <c r="K32" s="3">
        <v>0</v>
      </c>
      <c r="M32" s="3">
        <v>0</v>
      </c>
      <c r="P32" s="3" t="s">
        <v>36</v>
      </c>
      <c r="R32" s="3" t="s">
        <v>108</v>
      </c>
      <c r="S32" s="3" t="s">
        <v>109</v>
      </c>
    </row>
    <row r="33" spans="1:19">
      <c r="A33" s="4" t="s">
        <v>3</v>
      </c>
      <c r="B33" s="4" t="s">
        <v>110</v>
      </c>
      <c r="H33" s="3">
        <v>8</v>
      </c>
      <c r="I33" s="4" t="s">
        <v>35</v>
      </c>
      <c r="K33" s="3">
        <v>0</v>
      </c>
      <c r="M33" s="3">
        <v>0</v>
      </c>
      <c r="P33" s="4" t="s">
        <v>36</v>
      </c>
      <c r="S33" s="4" t="s">
        <v>111</v>
      </c>
    </row>
    <row r="34" spans="1:19">
      <c r="A34" s="3" t="s">
        <v>3</v>
      </c>
      <c r="B34" s="3" t="s">
        <v>112</v>
      </c>
      <c r="H34" s="3">
        <v>8</v>
      </c>
      <c r="I34" s="3" t="s">
        <v>35</v>
      </c>
      <c r="K34" s="3">
        <v>0</v>
      </c>
      <c r="M34" s="3">
        <v>0</v>
      </c>
      <c r="P34" s="3" t="s">
        <v>36</v>
      </c>
      <c r="S34" s="3" t="s">
        <v>113</v>
      </c>
    </row>
    <row r="35" spans="1:19">
      <c r="A35" s="4" t="s">
        <v>3</v>
      </c>
      <c r="B35" s="4" t="s">
        <v>114</v>
      </c>
      <c r="H35" s="3">
        <v>8</v>
      </c>
      <c r="I35" s="4" t="s">
        <v>115</v>
      </c>
      <c r="K35" s="3">
        <v>0</v>
      </c>
      <c r="M35" s="3">
        <v>0</v>
      </c>
      <c r="P35" s="4" t="s">
        <v>36</v>
      </c>
      <c r="S35" s="4" t="s">
        <v>116</v>
      </c>
    </row>
    <row r="36" spans="1:19">
      <c r="A36" s="3" t="s">
        <v>3</v>
      </c>
      <c r="B36" s="3" t="s">
        <v>117</v>
      </c>
      <c r="H36" s="3">
        <v>10</v>
      </c>
      <c r="I36" s="3" t="s">
        <v>118</v>
      </c>
      <c r="K36" s="3">
        <v>0</v>
      </c>
      <c r="M36" s="3">
        <v>0</v>
      </c>
      <c r="P36" s="3" t="s">
        <v>36</v>
      </c>
      <c r="S36" s="3" t="s">
        <v>119</v>
      </c>
    </row>
    <row r="37" spans="1:19">
      <c r="A37" s="4" t="s">
        <v>3</v>
      </c>
      <c r="B37" s="4" t="s">
        <v>120</v>
      </c>
      <c r="H37" s="3">
        <v>12</v>
      </c>
      <c r="I37" s="4" t="s">
        <v>121</v>
      </c>
      <c r="K37" s="3">
        <v>0</v>
      </c>
      <c r="M37" s="3">
        <v>0</v>
      </c>
      <c r="P37" s="4" t="s">
        <v>36</v>
      </c>
      <c r="S37" s="4" t="s">
        <v>122</v>
      </c>
    </row>
    <row r="38" spans="1:19">
      <c r="A38" s="3" t="s">
        <v>3</v>
      </c>
      <c r="B38" s="3" t="s">
        <v>123</v>
      </c>
      <c r="H38" s="3">
        <v>24</v>
      </c>
      <c r="I38" s="3" t="s">
        <v>124</v>
      </c>
      <c r="K38" s="3">
        <v>0</v>
      </c>
      <c r="M38" s="3">
        <v>0</v>
      </c>
      <c r="P38" s="3" t="s">
        <v>36</v>
      </c>
      <c r="S38" s="3" t="s">
        <v>125</v>
      </c>
    </row>
    <row r="39" spans="1:19">
      <c r="A39" s="4" t="s">
        <v>3</v>
      </c>
      <c r="B39" s="4" t="s">
        <v>126</v>
      </c>
      <c r="H39" s="3">
        <v>24</v>
      </c>
      <c r="I39" s="4" t="s">
        <v>124</v>
      </c>
      <c r="K39" s="3">
        <v>0</v>
      </c>
      <c r="M39" s="3">
        <v>0</v>
      </c>
      <c r="P39" s="4" t="s">
        <v>36</v>
      </c>
      <c r="S39" s="4" t="s">
        <v>127</v>
      </c>
    </row>
    <row r="40" spans="1:19">
      <c r="A40" s="3" t="s">
        <v>3</v>
      </c>
      <c r="B40" s="3" t="s">
        <v>128</v>
      </c>
      <c r="H40" s="3">
        <v>16</v>
      </c>
      <c r="I40" s="3" t="s">
        <v>70</v>
      </c>
      <c r="K40" s="3">
        <v>0</v>
      </c>
      <c r="M40" s="3">
        <v>0</v>
      </c>
      <c r="P40" s="3" t="s">
        <v>36</v>
      </c>
      <c r="S40" s="3" t="s">
        <v>129</v>
      </c>
    </row>
    <row r="41" spans="1:19">
      <c r="A41" s="4" t="s">
        <v>3</v>
      </c>
      <c r="B41" s="4" t="s">
        <v>130</v>
      </c>
      <c r="H41" s="3">
        <v>12</v>
      </c>
      <c r="I41" s="4" t="s">
        <v>131</v>
      </c>
      <c r="K41" s="3">
        <v>0</v>
      </c>
      <c r="M41" s="3">
        <v>0</v>
      </c>
      <c r="P41" s="4" t="s">
        <v>36</v>
      </c>
      <c r="S41" s="4" t="s">
        <v>132</v>
      </c>
    </row>
    <row r="42" spans="1:19">
      <c r="A42" s="3" t="s">
        <v>3</v>
      </c>
      <c r="B42" s="3" t="s">
        <v>133</v>
      </c>
      <c r="H42" s="3">
        <v>12</v>
      </c>
      <c r="I42" s="3" t="s">
        <v>131</v>
      </c>
      <c r="K42" s="3">
        <v>0</v>
      </c>
      <c r="M42" s="3">
        <v>0</v>
      </c>
      <c r="P42" s="3" t="s">
        <v>36</v>
      </c>
      <c r="S42" s="3" t="s">
        <v>134</v>
      </c>
    </row>
    <row r="43" spans="1:19">
      <c r="A43" s="4" t="s">
        <v>3</v>
      </c>
      <c r="B43" s="4" t="s">
        <v>135</v>
      </c>
      <c r="H43" s="3">
        <v>12</v>
      </c>
      <c r="I43" s="4" t="s">
        <v>131</v>
      </c>
      <c r="K43" s="3">
        <v>0</v>
      </c>
      <c r="M43" s="3">
        <v>0</v>
      </c>
      <c r="P43" s="4" t="s">
        <v>36</v>
      </c>
      <c r="S43" s="4" t="s">
        <v>136</v>
      </c>
    </row>
    <row r="44" spans="1:19">
      <c r="A44" s="3" t="s">
        <v>3</v>
      </c>
      <c r="B44" s="3" t="s">
        <v>137</v>
      </c>
      <c r="H44" s="3">
        <v>16</v>
      </c>
      <c r="I44" s="3" t="s">
        <v>138</v>
      </c>
      <c r="K44" s="3">
        <v>0</v>
      </c>
      <c r="M44" s="3">
        <v>0</v>
      </c>
      <c r="P44" s="3" t="s">
        <v>36</v>
      </c>
      <c r="S44" s="3" t="s">
        <v>139</v>
      </c>
    </row>
    <row r="45" spans="1:19">
      <c r="A45" s="4" t="s">
        <v>3</v>
      </c>
      <c r="B45" s="4" t="s">
        <v>140</v>
      </c>
      <c r="H45" s="3">
        <v>16</v>
      </c>
      <c r="I45" s="4" t="s">
        <v>138</v>
      </c>
      <c r="K45" s="3">
        <v>0</v>
      </c>
      <c r="M45" s="3">
        <v>0</v>
      </c>
      <c r="P45" s="4" t="s">
        <v>36</v>
      </c>
      <c r="S45" s="4" t="s">
        <v>141</v>
      </c>
    </row>
    <row r="46" spans="1:19">
      <c r="A46" s="3" t="s">
        <v>3</v>
      </c>
      <c r="B46" s="3" t="s">
        <v>142</v>
      </c>
      <c r="H46" s="3">
        <v>16</v>
      </c>
      <c r="I46" s="3" t="s">
        <v>138</v>
      </c>
      <c r="K46" s="3">
        <v>0</v>
      </c>
      <c r="M46" s="3">
        <v>0</v>
      </c>
      <c r="P46" s="3" t="s">
        <v>36</v>
      </c>
      <c r="S46" s="3" t="s">
        <v>143</v>
      </c>
    </row>
    <row r="47" spans="1:19">
      <c r="A47" s="4" t="s">
        <v>3</v>
      </c>
      <c r="B47" s="4" t="s">
        <v>144</v>
      </c>
      <c r="H47" s="3">
        <v>24</v>
      </c>
      <c r="I47" s="4" t="s">
        <v>124</v>
      </c>
      <c r="K47" s="3">
        <v>0</v>
      </c>
      <c r="M47" s="3">
        <v>0</v>
      </c>
      <c r="P47" s="4" t="s">
        <v>36</v>
      </c>
      <c r="S47" s="4" t="s">
        <v>145</v>
      </c>
    </row>
    <row r="48" spans="1:19">
      <c r="A48" s="3" t="s">
        <v>4</v>
      </c>
      <c r="B48" s="3" t="s">
        <v>146</v>
      </c>
      <c r="D48" s="3" t="s">
        <v>147</v>
      </c>
      <c r="E48" s="3">
        <v>6</v>
      </c>
      <c r="F48" s="3">
        <v>12</v>
      </c>
      <c r="G48" s="3" t="s">
        <v>148</v>
      </c>
      <c r="I48" s="3" t="s">
        <v>149</v>
      </c>
      <c r="K48" s="3">
        <v>0</v>
      </c>
      <c r="M48" s="3">
        <v>0</v>
      </c>
      <c r="P48" s="3" t="s">
        <v>36</v>
      </c>
      <c r="Q48" s="3" t="s">
        <v>150</v>
      </c>
      <c r="R48" s="3" t="s">
        <v>108</v>
      </c>
      <c r="S48" s="3" t="s">
        <v>151</v>
      </c>
    </row>
    <row r="49" spans="1:19">
      <c r="A49" s="4" t="s">
        <v>4</v>
      </c>
      <c r="B49" s="4" t="s">
        <v>152</v>
      </c>
      <c r="E49" s="3">
        <v>6</v>
      </c>
      <c r="F49" s="3">
        <v>12</v>
      </c>
      <c r="G49" s="4" t="s">
        <v>148</v>
      </c>
      <c r="I49" s="4" t="s">
        <v>153</v>
      </c>
      <c r="K49" s="3">
        <v>0</v>
      </c>
      <c r="M49" s="3">
        <v>0</v>
      </c>
      <c r="P49" s="4" t="s">
        <v>36</v>
      </c>
      <c r="Q49" s="3" t="s">
        <v>154</v>
      </c>
      <c r="S49" s="4" t="s">
        <v>155</v>
      </c>
    </row>
    <row r="50" spans="1:19">
      <c r="A50" s="3" t="s">
        <v>4</v>
      </c>
      <c r="B50" s="3" t="s">
        <v>156</v>
      </c>
      <c r="E50" s="3">
        <v>6</v>
      </c>
      <c r="F50" s="3">
        <v>12</v>
      </c>
      <c r="G50" s="3" t="s">
        <v>148</v>
      </c>
      <c r="I50" s="3" t="s">
        <v>153</v>
      </c>
      <c r="K50" s="3">
        <v>0</v>
      </c>
      <c r="M50" s="3">
        <v>0</v>
      </c>
      <c r="P50" s="3" t="s">
        <v>36</v>
      </c>
      <c r="Q50" s="3" t="s">
        <v>157</v>
      </c>
      <c r="S50" s="3" t="s">
        <v>158</v>
      </c>
    </row>
    <row r="51" spans="1:19">
      <c r="A51" s="4" t="s">
        <v>4</v>
      </c>
      <c r="B51" s="4" t="s">
        <v>159</v>
      </c>
      <c r="E51" s="3">
        <v>6</v>
      </c>
      <c r="F51" s="3">
        <v>12</v>
      </c>
      <c r="G51" s="4" t="s">
        <v>148</v>
      </c>
      <c r="I51" s="4" t="s">
        <v>153</v>
      </c>
      <c r="K51" s="3">
        <v>0</v>
      </c>
      <c r="M51" s="3">
        <v>0</v>
      </c>
      <c r="P51" s="4" t="s">
        <v>36</v>
      </c>
      <c r="Q51" s="3" t="s">
        <v>160</v>
      </c>
      <c r="S51" s="4" t="s">
        <v>161</v>
      </c>
    </row>
    <row r="52" spans="1:19">
      <c r="A52" s="3" t="s">
        <v>4</v>
      </c>
      <c r="B52" s="3" t="s">
        <v>162</v>
      </c>
      <c r="D52" s="3" t="s">
        <v>147</v>
      </c>
      <c r="E52" s="3">
        <v>6</v>
      </c>
      <c r="F52" s="3">
        <v>12</v>
      </c>
      <c r="G52" s="3" t="s">
        <v>148</v>
      </c>
      <c r="I52" s="3" t="s">
        <v>163</v>
      </c>
      <c r="K52" s="3">
        <v>0</v>
      </c>
      <c r="M52" s="3">
        <v>0</v>
      </c>
      <c r="P52" s="3" t="s">
        <v>36</v>
      </c>
      <c r="Q52" s="3" t="s">
        <v>160</v>
      </c>
      <c r="R52" s="3" t="s">
        <v>108</v>
      </c>
      <c r="S52" s="3" t="s">
        <v>164</v>
      </c>
    </row>
    <row r="53" spans="1:19">
      <c r="A53" s="4" t="s">
        <v>4</v>
      </c>
      <c r="B53" s="4" t="s">
        <v>165</v>
      </c>
      <c r="E53" s="3">
        <v>6</v>
      </c>
      <c r="F53" s="3">
        <v>12</v>
      </c>
      <c r="G53" s="4" t="s">
        <v>166</v>
      </c>
      <c r="I53" s="4" t="s">
        <v>167</v>
      </c>
      <c r="K53" s="3">
        <v>0</v>
      </c>
      <c r="M53" s="3">
        <v>0</v>
      </c>
      <c r="P53" s="4" t="s">
        <v>36</v>
      </c>
      <c r="Q53" s="3" t="s">
        <v>168</v>
      </c>
      <c r="S53" s="4" t="s">
        <v>169</v>
      </c>
    </row>
    <row r="54" spans="1:19">
      <c r="A54" s="3" t="s">
        <v>4</v>
      </c>
      <c r="B54" s="3" t="s">
        <v>170</v>
      </c>
      <c r="E54" s="3">
        <v>6</v>
      </c>
      <c r="F54" s="3">
        <v>12</v>
      </c>
      <c r="G54" s="3" t="s">
        <v>166</v>
      </c>
      <c r="I54" s="3" t="s">
        <v>167</v>
      </c>
      <c r="K54" s="3">
        <v>0</v>
      </c>
      <c r="M54" s="3">
        <v>0</v>
      </c>
      <c r="P54" s="3" t="s">
        <v>36</v>
      </c>
      <c r="S54" s="3" t="s">
        <v>171</v>
      </c>
    </row>
    <row r="55" spans="1:19">
      <c r="A55" s="4" t="s">
        <v>4</v>
      </c>
      <c r="B55" s="4" t="s">
        <v>172</v>
      </c>
      <c r="E55" s="3">
        <v>8</v>
      </c>
      <c r="F55" s="3">
        <v>16</v>
      </c>
      <c r="G55" s="4" t="s">
        <v>148</v>
      </c>
      <c r="I55" s="4" t="s">
        <v>173</v>
      </c>
      <c r="K55" s="3">
        <v>0</v>
      </c>
      <c r="M55" s="3">
        <v>0</v>
      </c>
      <c r="P55" s="4" t="s">
        <v>174</v>
      </c>
      <c r="S55" s="4" t="s">
        <v>175</v>
      </c>
    </row>
    <row r="56" spans="1:19">
      <c r="A56" s="3" t="s">
        <v>4</v>
      </c>
      <c r="B56" s="3" t="s">
        <v>176</v>
      </c>
      <c r="E56" s="3">
        <v>8</v>
      </c>
      <c r="F56" s="3">
        <v>16</v>
      </c>
      <c r="G56" s="3" t="s">
        <v>148</v>
      </c>
      <c r="I56" s="3" t="s">
        <v>173</v>
      </c>
      <c r="K56" s="3">
        <v>0</v>
      </c>
      <c r="M56" s="3">
        <v>0</v>
      </c>
      <c r="P56" s="3" t="s">
        <v>36</v>
      </c>
      <c r="S56" s="3" t="s">
        <v>177</v>
      </c>
    </row>
    <row r="57" spans="1:19">
      <c r="A57" s="4" t="s">
        <v>4</v>
      </c>
      <c r="B57" s="4" t="s">
        <v>178</v>
      </c>
      <c r="E57" s="3">
        <v>8</v>
      </c>
      <c r="F57" s="3">
        <v>16</v>
      </c>
      <c r="G57" s="4" t="s">
        <v>148</v>
      </c>
      <c r="I57" s="4" t="s">
        <v>173</v>
      </c>
      <c r="K57" s="3">
        <v>0</v>
      </c>
      <c r="M57" s="3">
        <v>0</v>
      </c>
      <c r="P57" s="4" t="s">
        <v>36</v>
      </c>
      <c r="S57" s="4" t="s">
        <v>179</v>
      </c>
    </row>
    <row r="58" spans="1:19">
      <c r="A58" s="3" t="s">
        <v>4</v>
      </c>
      <c r="B58" s="3" t="s">
        <v>180</v>
      </c>
      <c r="E58" s="3">
        <v>8</v>
      </c>
      <c r="F58" s="3">
        <v>16</v>
      </c>
      <c r="G58" s="3" t="s">
        <v>148</v>
      </c>
      <c r="I58" s="3" t="s">
        <v>173</v>
      </c>
      <c r="K58" s="3">
        <v>0</v>
      </c>
      <c r="M58" s="3">
        <v>0</v>
      </c>
      <c r="P58" s="3" t="s">
        <v>36</v>
      </c>
      <c r="S58" s="3" t="s">
        <v>181</v>
      </c>
    </row>
    <row r="59" spans="1:19">
      <c r="A59" s="4" t="s">
        <v>4</v>
      </c>
      <c r="B59" s="4" t="s">
        <v>182</v>
      </c>
      <c r="E59" s="3">
        <v>8</v>
      </c>
      <c r="F59" s="3">
        <v>16</v>
      </c>
      <c r="G59" s="4" t="s">
        <v>148</v>
      </c>
      <c r="I59" s="4" t="s">
        <v>173</v>
      </c>
      <c r="K59" s="3">
        <v>0</v>
      </c>
      <c r="M59" s="3">
        <v>0</v>
      </c>
      <c r="P59" s="4" t="s">
        <v>36</v>
      </c>
      <c r="S59" s="4" t="s">
        <v>183</v>
      </c>
    </row>
    <row r="60" spans="1:19">
      <c r="A60" s="3" t="s">
        <v>4</v>
      </c>
      <c r="B60" s="3" t="s">
        <v>184</v>
      </c>
      <c r="E60" s="3">
        <v>8</v>
      </c>
      <c r="F60" s="3">
        <v>16</v>
      </c>
      <c r="G60" s="3" t="s">
        <v>148</v>
      </c>
      <c r="I60" s="3" t="s">
        <v>173</v>
      </c>
      <c r="K60" s="3">
        <v>0</v>
      </c>
      <c r="M60" s="3">
        <v>0</v>
      </c>
      <c r="P60" s="3" t="s">
        <v>36</v>
      </c>
      <c r="S60" s="3" t="s">
        <v>185</v>
      </c>
    </row>
    <row r="61" spans="1:19">
      <c r="A61" s="4" t="s">
        <v>4</v>
      </c>
      <c r="B61" s="4" t="s">
        <v>186</v>
      </c>
      <c r="E61" s="3">
        <v>8</v>
      </c>
      <c r="F61" s="3">
        <v>16</v>
      </c>
      <c r="G61" s="4" t="s">
        <v>166</v>
      </c>
      <c r="I61" s="4" t="s">
        <v>187</v>
      </c>
      <c r="K61" s="3">
        <v>0</v>
      </c>
      <c r="M61" s="3">
        <v>0</v>
      </c>
      <c r="P61" s="4" t="s">
        <v>36</v>
      </c>
      <c r="S61" s="4" t="s">
        <v>188</v>
      </c>
    </row>
    <row r="62" spans="1:19">
      <c r="A62" s="3" t="s">
        <v>4</v>
      </c>
      <c r="B62" s="3" t="s">
        <v>189</v>
      </c>
      <c r="E62" s="3">
        <v>8</v>
      </c>
      <c r="F62" s="3">
        <v>16</v>
      </c>
      <c r="G62" s="3" t="s">
        <v>166</v>
      </c>
      <c r="I62" s="3" t="s">
        <v>187</v>
      </c>
      <c r="K62" s="3">
        <v>0</v>
      </c>
      <c r="M62" s="3">
        <v>0</v>
      </c>
      <c r="P62" s="3" t="s">
        <v>36</v>
      </c>
      <c r="S62" s="3" t="s">
        <v>190</v>
      </c>
    </row>
    <row r="63" spans="1:19">
      <c r="A63" s="4" t="s">
        <v>4</v>
      </c>
      <c r="B63" s="4" t="s">
        <v>191</v>
      </c>
      <c r="E63" s="3">
        <v>8</v>
      </c>
      <c r="F63" s="3">
        <v>16</v>
      </c>
      <c r="G63" s="4" t="s">
        <v>166</v>
      </c>
      <c r="I63" s="4" t="s">
        <v>187</v>
      </c>
      <c r="K63" s="3">
        <v>0</v>
      </c>
      <c r="M63" s="3">
        <v>0</v>
      </c>
      <c r="P63" s="4" t="s">
        <v>36</v>
      </c>
      <c r="S63" s="4" t="s">
        <v>192</v>
      </c>
    </row>
    <row r="64" spans="1:19">
      <c r="A64" s="3" t="s">
        <v>4</v>
      </c>
      <c r="B64" s="3" t="s">
        <v>193</v>
      </c>
      <c r="E64" s="3">
        <v>12</v>
      </c>
      <c r="F64" s="3">
        <v>24</v>
      </c>
      <c r="G64" s="3" t="s">
        <v>148</v>
      </c>
      <c r="I64" s="3" t="s">
        <v>194</v>
      </c>
      <c r="K64" s="3">
        <v>0</v>
      </c>
      <c r="M64" s="3">
        <v>0</v>
      </c>
      <c r="P64" s="3" t="s">
        <v>36</v>
      </c>
      <c r="S64" s="3" t="s">
        <v>195</v>
      </c>
    </row>
    <row r="65" spans="1:19">
      <c r="A65" s="4" t="s">
        <v>4</v>
      </c>
      <c r="B65" s="4" t="s">
        <v>196</v>
      </c>
      <c r="E65" s="3">
        <v>16</v>
      </c>
      <c r="F65" s="3">
        <v>32</v>
      </c>
      <c r="G65" s="4" t="s">
        <v>148</v>
      </c>
      <c r="I65" s="4" t="s">
        <v>197</v>
      </c>
      <c r="K65" s="3">
        <v>0</v>
      </c>
      <c r="M65" s="3">
        <v>0</v>
      </c>
      <c r="P65" s="4" t="s">
        <v>36</v>
      </c>
      <c r="S65" s="4" t="s">
        <v>198</v>
      </c>
    </row>
    <row r="66" spans="1:19">
      <c r="A66" s="3" t="s">
        <v>4</v>
      </c>
      <c r="B66" s="3" t="s">
        <v>199</v>
      </c>
      <c r="E66" s="3">
        <v>16</v>
      </c>
      <c r="F66" s="3">
        <v>32</v>
      </c>
      <c r="G66" s="3" t="s">
        <v>166</v>
      </c>
      <c r="I66" s="3" t="s">
        <v>200</v>
      </c>
      <c r="K66" s="3">
        <v>0</v>
      </c>
      <c r="M66" s="3">
        <v>0</v>
      </c>
      <c r="P66" s="3" t="s">
        <v>36</v>
      </c>
      <c r="S66" s="3" t="s">
        <v>201</v>
      </c>
    </row>
    <row r="67" spans="1:19">
      <c r="A67" s="4" t="s">
        <v>4</v>
      </c>
      <c r="B67" s="4" t="s">
        <v>202</v>
      </c>
      <c r="E67" s="3">
        <v>6</v>
      </c>
      <c r="F67" s="3">
        <v>12</v>
      </c>
      <c r="G67" s="4" t="s">
        <v>203</v>
      </c>
      <c r="I67" s="4" t="s">
        <v>204</v>
      </c>
      <c r="K67" s="3">
        <v>0</v>
      </c>
      <c r="M67" s="3">
        <v>0</v>
      </c>
      <c r="P67" s="4" t="s">
        <v>36</v>
      </c>
      <c r="S67" s="4" t="s">
        <v>205</v>
      </c>
    </row>
    <row r="68" spans="1:19">
      <c r="A68" s="3" t="s">
        <v>4</v>
      </c>
      <c r="B68" s="3" t="s">
        <v>206</v>
      </c>
      <c r="E68" s="3">
        <v>6</v>
      </c>
      <c r="F68" s="3">
        <v>12</v>
      </c>
      <c r="G68" s="3" t="s">
        <v>203</v>
      </c>
      <c r="I68" s="3" t="s">
        <v>204</v>
      </c>
      <c r="K68" s="3">
        <v>0</v>
      </c>
      <c r="M68" s="3">
        <v>0</v>
      </c>
      <c r="P68" s="3" t="s">
        <v>36</v>
      </c>
      <c r="S68" s="3" t="s">
        <v>207</v>
      </c>
    </row>
    <row r="69" spans="1:19">
      <c r="A69" s="4" t="s">
        <v>4</v>
      </c>
      <c r="B69" s="4" t="s">
        <v>208</v>
      </c>
      <c r="E69" s="3">
        <v>6</v>
      </c>
      <c r="F69" s="3">
        <v>12</v>
      </c>
      <c r="G69" s="4" t="s">
        <v>209</v>
      </c>
      <c r="I69" s="4" t="s">
        <v>210</v>
      </c>
      <c r="K69" s="3">
        <v>0</v>
      </c>
      <c r="M69" s="3">
        <v>0</v>
      </c>
      <c r="P69" s="4" t="s">
        <v>36</v>
      </c>
      <c r="S69" s="4" t="s">
        <v>211</v>
      </c>
    </row>
    <row r="70" spans="1:19">
      <c r="A70" s="3" t="s">
        <v>4</v>
      </c>
      <c r="B70" s="3" t="s">
        <v>212</v>
      </c>
      <c r="E70" s="3">
        <v>10</v>
      </c>
      <c r="F70" s="3">
        <v>16</v>
      </c>
      <c r="G70" s="3" t="s">
        <v>209</v>
      </c>
      <c r="I70" s="3" t="s">
        <v>213</v>
      </c>
      <c r="K70" s="3">
        <v>0</v>
      </c>
      <c r="M70" s="3">
        <v>0</v>
      </c>
      <c r="P70" s="3" t="s">
        <v>36</v>
      </c>
      <c r="S70" s="3" t="s">
        <v>214</v>
      </c>
    </row>
    <row r="71" spans="1:19">
      <c r="A71" s="4" t="s">
        <v>4</v>
      </c>
      <c r="B71" s="4" t="s">
        <v>215</v>
      </c>
      <c r="E71" s="3">
        <v>14</v>
      </c>
      <c r="F71" s="3">
        <v>20</v>
      </c>
      <c r="G71" s="4" t="s">
        <v>209</v>
      </c>
      <c r="I71" s="4" t="s">
        <v>216</v>
      </c>
      <c r="K71" s="3">
        <v>0</v>
      </c>
      <c r="M71" s="3">
        <v>0</v>
      </c>
      <c r="P71" s="4" t="s">
        <v>36</v>
      </c>
      <c r="S71" s="4" t="s">
        <v>217</v>
      </c>
    </row>
    <row r="72" spans="1:19">
      <c r="A72" s="3" t="s">
        <v>4</v>
      </c>
      <c r="B72" s="3" t="s">
        <v>218</v>
      </c>
      <c r="E72" s="3">
        <v>14</v>
      </c>
      <c r="F72" s="3">
        <v>20</v>
      </c>
      <c r="G72" s="3" t="s">
        <v>209</v>
      </c>
      <c r="I72" s="3" t="s">
        <v>216</v>
      </c>
      <c r="K72" s="3">
        <v>0</v>
      </c>
      <c r="M72" s="3">
        <v>0</v>
      </c>
      <c r="P72" s="3" t="s">
        <v>36</v>
      </c>
      <c r="S72" s="3" t="s">
        <v>219</v>
      </c>
    </row>
    <row r="73" spans="1:19">
      <c r="A73" s="4" t="s">
        <v>4</v>
      </c>
      <c r="B73" s="4" t="s">
        <v>220</v>
      </c>
      <c r="E73" s="3">
        <v>8</v>
      </c>
      <c r="F73" s="3">
        <v>16</v>
      </c>
      <c r="G73" s="4" t="s">
        <v>203</v>
      </c>
      <c r="I73" s="4" t="s">
        <v>221</v>
      </c>
      <c r="K73" s="3">
        <v>0</v>
      </c>
      <c r="M73" s="3">
        <v>0</v>
      </c>
      <c r="P73" s="4" t="s">
        <v>36</v>
      </c>
      <c r="S73" s="4" t="s">
        <v>222</v>
      </c>
    </row>
    <row r="74" spans="1:19">
      <c r="A74" s="3" t="s">
        <v>4</v>
      </c>
      <c r="B74" s="3" t="s">
        <v>223</v>
      </c>
      <c r="E74" s="3">
        <v>12</v>
      </c>
      <c r="F74" s="3">
        <v>20</v>
      </c>
      <c r="G74" s="3" t="s">
        <v>209</v>
      </c>
      <c r="I74" s="3" t="s">
        <v>224</v>
      </c>
      <c r="K74" s="3">
        <v>0</v>
      </c>
      <c r="M74" s="3">
        <v>0</v>
      </c>
      <c r="P74" s="3" t="s">
        <v>36</v>
      </c>
      <c r="S74" s="3" t="s">
        <v>225</v>
      </c>
    </row>
    <row r="75" spans="1:19">
      <c r="A75" s="4" t="s">
        <v>4</v>
      </c>
      <c r="B75" s="4" t="s">
        <v>226</v>
      </c>
      <c r="E75" s="3">
        <v>16</v>
      </c>
      <c r="F75" s="3">
        <v>24</v>
      </c>
      <c r="G75" s="4" t="s">
        <v>209</v>
      </c>
      <c r="I75" s="4" t="s">
        <v>227</v>
      </c>
      <c r="K75" s="3">
        <v>0</v>
      </c>
      <c r="M75" s="3">
        <v>0</v>
      </c>
      <c r="P75" s="4" t="s">
        <v>36</v>
      </c>
      <c r="S75" s="4" t="s">
        <v>228</v>
      </c>
    </row>
    <row r="76" spans="1:19">
      <c r="A76" s="3" t="s">
        <v>4</v>
      </c>
      <c r="B76" s="3" t="s">
        <v>229</v>
      </c>
      <c r="E76" s="3">
        <v>20</v>
      </c>
      <c r="F76" s="3">
        <v>28</v>
      </c>
      <c r="G76" s="3" t="s">
        <v>209</v>
      </c>
      <c r="I76" s="3" t="s">
        <v>230</v>
      </c>
      <c r="K76" s="3">
        <v>0</v>
      </c>
      <c r="M76" s="3">
        <v>0</v>
      </c>
      <c r="P76" s="3" t="s">
        <v>36</v>
      </c>
      <c r="S76" s="3" t="s">
        <v>231</v>
      </c>
    </row>
    <row r="77" spans="1:19">
      <c r="A77" s="4" t="s">
        <v>4</v>
      </c>
      <c r="B77" s="4" t="s">
        <v>232</v>
      </c>
      <c r="E77" s="3">
        <v>4</v>
      </c>
      <c r="F77" s="3">
        <v>8</v>
      </c>
      <c r="G77" s="4" t="s">
        <v>233</v>
      </c>
      <c r="I77" s="4" t="s">
        <v>234</v>
      </c>
      <c r="K77" s="3">
        <v>0</v>
      </c>
      <c r="M77" s="3">
        <v>0</v>
      </c>
      <c r="P77" s="4" t="s">
        <v>36</v>
      </c>
      <c r="S77" s="4" t="s">
        <v>235</v>
      </c>
    </row>
    <row r="78" spans="1:19">
      <c r="A78" s="3" t="s">
        <v>4</v>
      </c>
      <c r="B78" s="3" t="s">
        <v>236</v>
      </c>
      <c r="E78" s="3">
        <v>4</v>
      </c>
      <c r="F78" s="3">
        <v>8</v>
      </c>
      <c r="G78" s="3" t="s">
        <v>237</v>
      </c>
      <c r="I78" s="3" t="s">
        <v>238</v>
      </c>
      <c r="K78" s="3">
        <v>0</v>
      </c>
      <c r="M78" s="3">
        <v>0</v>
      </c>
      <c r="P78" s="3" t="s">
        <v>36</v>
      </c>
      <c r="S78" s="3" t="s">
        <v>239</v>
      </c>
    </row>
    <row r="79" spans="1:19">
      <c r="A79" s="4" t="s">
        <v>4</v>
      </c>
      <c r="B79" s="4" t="s">
        <v>240</v>
      </c>
      <c r="E79" s="3">
        <v>4</v>
      </c>
      <c r="F79" s="3">
        <v>8</v>
      </c>
      <c r="G79" s="4" t="s">
        <v>237</v>
      </c>
      <c r="I79" s="4" t="s">
        <v>238</v>
      </c>
      <c r="K79" s="3">
        <v>0</v>
      </c>
      <c r="M79" s="3">
        <v>0</v>
      </c>
      <c r="P79" s="4" t="s">
        <v>36</v>
      </c>
      <c r="S79" s="4" t="s">
        <v>241</v>
      </c>
    </row>
    <row r="80" spans="1:19">
      <c r="A80" s="3" t="s">
        <v>4</v>
      </c>
      <c r="B80" s="3" t="s">
        <v>242</v>
      </c>
      <c r="E80" s="3">
        <v>6</v>
      </c>
      <c r="F80" s="3">
        <v>12</v>
      </c>
      <c r="G80" s="3" t="s">
        <v>237</v>
      </c>
      <c r="I80" s="3" t="s">
        <v>243</v>
      </c>
      <c r="K80" s="3">
        <v>0</v>
      </c>
      <c r="M80" s="3">
        <v>0</v>
      </c>
      <c r="P80" s="3" t="s">
        <v>36</v>
      </c>
      <c r="S80" s="3" t="s">
        <v>244</v>
      </c>
    </row>
    <row r="81" spans="1:19">
      <c r="A81" s="4" t="s">
        <v>4</v>
      </c>
      <c r="B81" s="4" t="s">
        <v>245</v>
      </c>
      <c r="E81" s="3">
        <v>8</v>
      </c>
      <c r="F81" s="3">
        <v>8</v>
      </c>
      <c r="G81" s="4" t="s">
        <v>237</v>
      </c>
      <c r="I81" s="4" t="s">
        <v>246</v>
      </c>
      <c r="K81" s="3">
        <v>0</v>
      </c>
      <c r="M81" s="3">
        <v>0</v>
      </c>
      <c r="P81" s="4" t="s">
        <v>36</v>
      </c>
      <c r="S81" s="4" t="s">
        <v>247</v>
      </c>
    </row>
    <row r="82" spans="1:19">
      <c r="A82" s="3" t="s">
        <v>5</v>
      </c>
      <c r="B82" s="3" t="s">
        <v>248</v>
      </c>
      <c r="C82" s="3" t="s">
        <v>249</v>
      </c>
      <c r="D82" s="3" t="s">
        <v>250</v>
      </c>
      <c r="G82" s="3" t="s">
        <v>148</v>
      </c>
      <c r="I82" s="3" t="s">
        <v>251</v>
      </c>
      <c r="K82" s="3">
        <v>0</v>
      </c>
      <c r="M82" s="3">
        <v>0</v>
      </c>
      <c r="P82" s="3" t="s">
        <v>36</v>
      </c>
      <c r="R82" s="3" t="s">
        <v>108</v>
      </c>
      <c r="S82" s="3" t="s">
        <v>252</v>
      </c>
    </row>
    <row r="83" spans="1:19">
      <c r="A83" s="4" t="s">
        <v>5</v>
      </c>
      <c r="B83" s="4" t="s">
        <v>253</v>
      </c>
      <c r="C83" s="4" t="s">
        <v>254</v>
      </c>
      <c r="D83" s="4" t="s">
        <v>255</v>
      </c>
      <c r="G83" s="4" t="s">
        <v>148</v>
      </c>
      <c r="I83" s="4" t="s">
        <v>256</v>
      </c>
      <c r="K83" s="3">
        <v>0</v>
      </c>
      <c r="M83" s="3">
        <v>0</v>
      </c>
      <c r="P83" s="4" t="s">
        <v>36</v>
      </c>
      <c r="S83" s="4" t="s">
        <v>257</v>
      </c>
    </row>
    <row r="84" spans="1:19">
      <c r="A84" s="3" t="s">
        <v>5</v>
      </c>
      <c r="B84" s="3" t="s">
        <v>258</v>
      </c>
      <c r="C84" s="3" t="s">
        <v>249</v>
      </c>
      <c r="D84" s="3" t="s">
        <v>250</v>
      </c>
      <c r="G84" s="3" t="s">
        <v>166</v>
      </c>
      <c r="I84" s="3" t="s">
        <v>259</v>
      </c>
      <c r="K84" s="3">
        <v>0</v>
      </c>
      <c r="M84" s="3">
        <v>0</v>
      </c>
      <c r="P84" s="3" t="s">
        <v>36</v>
      </c>
      <c r="S84" s="3" t="s">
        <v>260</v>
      </c>
    </row>
    <row r="85" spans="1:19">
      <c r="A85" s="4" t="s">
        <v>5</v>
      </c>
      <c r="B85" s="4" t="s">
        <v>261</v>
      </c>
      <c r="C85" s="4" t="s">
        <v>262</v>
      </c>
      <c r="D85" s="4" t="s">
        <v>255</v>
      </c>
      <c r="G85" s="4" t="s">
        <v>209</v>
      </c>
      <c r="I85" s="4" t="s">
        <v>263</v>
      </c>
      <c r="K85" s="3">
        <v>0</v>
      </c>
      <c r="M85" s="3">
        <v>0</v>
      </c>
      <c r="P85" s="4" t="s">
        <v>36</v>
      </c>
      <c r="S85" s="4" t="s">
        <v>264</v>
      </c>
    </row>
    <row r="86" spans="1:19">
      <c r="A86" s="3" t="s">
        <v>5</v>
      </c>
      <c r="B86" s="3" t="s">
        <v>265</v>
      </c>
      <c r="C86" s="3" t="s">
        <v>266</v>
      </c>
      <c r="D86" s="3" t="s">
        <v>267</v>
      </c>
      <c r="G86" s="3" t="s">
        <v>148</v>
      </c>
      <c r="I86" s="3" t="s">
        <v>268</v>
      </c>
      <c r="K86" s="3">
        <v>0</v>
      </c>
      <c r="M86" s="3">
        <v>0</v>
      </c>
      <c r="P86" s="3" t="s">
        <v>36</v>
      </c>
      <c r="S86" s="3" t="s">
        <v>269</v>
      </c>
    </row>
    <row r="87" spans="1:19">
      <c r="A87" s="4" t="s">
        <v>5</v>
      </c>
      <c r="B87" s="4" t="s">
        <v>270</v>
      </c>
      <c r="C87" s="4" t="s">
        <v>271</v>
      </c>
      <c r="D87" s="4" t="s">
        <v>267</v>
      </c>
      <c r="G87" s="4" t="s">
        <v>166</v>
      </c>
      <c r="I87" s="4" t="s">
        <v>272</v>
      </c>
      <c r="K87" s="3">
        <v>0</v>
      </c>
      <c r="M87" s="3">
        <v>0</v>
      </c>
      <c r="P87" s="4" t="s">
        <v>36</v>
      </c>
      <c r="S87" s="4" t="s">
        <v>273</v>
      </c>
    </row>
    <row r="88" spans="1:19">
      <c r="A88" s="3" t="s">
        <v>5</v>
      </c>
      <c r="B88" s="3" t="s">
        <v>274</v>
      </c>
      <c r="C88" s="3" t="s">
        <v>254</v>
      </c>
      <c r="D88" s="3" t="s">
        <v>255</v>
      </c>
      <c r="G88" s="3" t="s">
        <v>148</v>
      </c>
      <c r="I88" s="3" t="s">
        <v>275</v>
      </c>
      <c r="K88" s="3">
        <v>0</v>
      </c>
      <c r="M88" s="3">
        <v>0</v>
      </c>
      <c r="P88" s="3" t="s">
        <v>36</v>
      </c>
      <c r="S88" s="3" t="s">
        <v>276</v>
      </c>
    </row>
    <row r="89" spans="1:19">
      <c r="A89" s="4" t="s">
        <v>5</v>
      </c>
      <c r="B89" s="4" t="s">
        <v>277</v>
      </c>
      <c r="C89" s="4" t="s">
        <v>254</v>
      </c>
      <c r="D89" s="4" t="s">
        <v>267</v>
      </c>
      <c r="G89" s="4" t="s">
        <v>148</v>
      </c>
      <c r="I89" s="4" t="s">
        <v>278</v>
      </c>
      <c r="K89" s="3">
        <v>0</v>
      </c>
      <c r="M89" s="3">
        <v>0</v>
      </c>
      <c r="P89" s="4" t="s">
        <v>36</v>
      </c>
      <c r="S89" s="4" t="s">
        <v>279</v>
      </c>
    </row>
    <row r="90" spans="1:19">
      <c r="A90" s="3" t="s">
        <v>5</v>
      </c>
      <c r="B90" s="3" t="s">
        <v>280</v>
      </c>
      <c r="C90" s="3" t="s">
        <v>254</v>
      </c>
      <c r="D90" s="3" t="s">
        <v>255</v>
      </c>
      <c r="G90" s="3" t="s">
        <v>209</v>
      </c>
      <c r="I90" s="3" t="s">
        <v>281</v>
      </c>
      <c r="K90" s="3">
        <v>0</v>
      </c>
      <c r="M90" s="3">
        <v>0</v>
      </c>
      <c r="P90" s="3" t="s">
        <v>36</v>
      </c>
      <c r="S90" s="3" t="s">
        <v>282</v>
      </c>
    </row>
    <row r="91" spans="1:19">
      <c r="A91" s="4" t="s">
        <v>5</v>
      </c>
      <c r="B91" s="4" t="s">
        <v>283</v>
      </c>
      <c r="C91" s="4" t="s">
        <v>284</v>
      </c>
      <c r="D91" s="4" t="s">
        <v>267</v>
      </c>
      <c r="G91" s="4" t="s">
        <v>148</v>
      </c>
      <c r="I91" s="4" t="s">
        <v>285</v>
      </c>
      <c r="K91" s="3">
        <v>0</v>
      </c>
      <c r="M91" s="3">
        <v>0</v>
      </c>
      <c r="P91" s="4" t="s">
        <v>36</v>
      </c>
      <c r="S91" s="4" t="s">
        <v>286</v>
      </c>
    </row>
    <row r="92" spans="1:19">
      <c r="A92" s="3" t="s">
        <v>5</v>
      </c>
      <c r="B92" s="3" t="s">
        <v>287</v>
      </c>
      <c r="C92" s="3" t="s">
        <v>266</v>
      </c>
      <c r="D92" s="3" t="s">
        <v>267</v>
      </c>
      <c r="G92" s="3" t="s">
        <v>166</v>
      </c>
      <c r="I92" s="3" t="s">
        <v>288</v>
      </c>
      <c r="K92" s="3">
        <v>0</v>
      </c>
      <c r="M92" s="3">
        <v>0</v>
      </c>
      <c r="P92" s="3" t="s">
        <v>36</v>
      </c>
      <c r="S92" s="3" t="s">
        <v>289</v>
      </c>
    </row>
    <row r="93" spans="1:19">
      <c r="A93" s="4" t="s">
        <v>5</v>
      </c>
      <c r="B93" s="4" t="s">
        <v>290</v>
      </c>
      <c r="C93" s="4" t="s">
        <v>271</v>
      </c>
      <c r="D93" s="4" t="s">
        <v>267</v>
      </c>
      <c r="G93" s="4" t="s">
        <v>209</v>
      </c>
      <c r="I93" s="4" t="s">
        <v>291</v>
      </c>
      <c r="K93" s="3">
        <v>0</v>
      </c>
      <c r="M93" s="3">
        <v>0</v>
      </c>
      <c r="P93" s="4" t="s">
        <v>36</v>
      </c>
      <c r="S93" s="4" t="s">
        <v>292</v>
      </c>
    </row>
    <row r="94" spans="1:19">
      <c r="A94" s="3" t="s">
        <v>5</v>
      </c>
      <c r="B94" s="3" t="s">
        <v>293</v>
      </c>
      <c r="C94" s="3" t="s">
        <v>262</v>
      </c>
      <c r="D94" s="3" t="s">
        <v>250</v>
      </c>
      <c r="G94" s="3" t="s">
        <v>148</v>
      </c>
      <c r="I94" s="3" t="s">
        <v>294</v>
      </c>
      <c r="K94" s="3">
        <v>0</v>
      </c>
      <c r="M94" s="3">
        <v>0</v>
      </c>
      <c r="P94" s="3" t="s">
        <v>36</v>
      </c>
      <c r="S94" s="3" t="s">
        <v>295</v>
      </c>
    </row>
    <row r="95" spans="1:19">
      <c r="A95" s="4" t="s">
        <v>5</v>
      </c>
      <c r="B95" s="4" t="s">
        <v>296</v>
      </c>
      <c r="C95" s="4" t="s">
        <v>271</v>
      </c>
      <c r="D95" s="4" t="s">
        <v>250</v>
      </c>
      <c r="G95" s="4" t="s">
        <v>166</v>
      </c>
      <c r="I95" s="4" t="s">
        <v>297</v>
      </c>
      <c r="K95" s="3">
        <v>0</v>
      </c>
      <c r="M95" s="3">
        <v>0</v>
      </c>
      <c r="P95" s="4" t="s">
        <v>36</v>
      </c>
      <c r="S95" s="4" t="s">
        <v>298</v>
      </c>
    </row>
    <row r="96" spans="1:19">
      <c r="A96" s="3" t="s">
        <v>5</v>
      </c>
      <c r="B96" s="3" t="s">
        <v>299</v>
      </c>
      <c r="C96" s="3" t="s">
        <v>271</v>
      </c>
      <c r="D96" s="3" t="s">
        <v>250</v>
      </c>
      <c r="G96" s="3" t="s">
        <v>209</v>
      </c>
      <c r="I96" s="3" t="s">
        <v>300</v>
      </c>
      <c r="K96" s="3">
        <v>0</v>
      </c>
      <c r="M96" s="3">
        <v>0</v>
      </c>
      <c r="P96" s="3" t="s">
        <v>36</v>
      </c>
      <c r="S96" s="3" t="s">
        <v>301</v>
      </c>
    </row>
    <row r="97" spans="1:19">
      <c r="A97" s="4" t="s">
        <v>5</v>
      </c>
      <c r="B97" s="4" t="s">
        <v>302</v>
      </c>
      <c r="D97" s="4" t="s">
        <v>303</v>
      </c>
      <c r="G97" s="4" t="s">
        <v>148</v>
      </c>
      <c r="I97" s="4" t="s">
        <v>304</v>
      </c>
      <c r="K97" s="3">
        <v>0</v>
      </c>
      <c r="M97" s="3">
        <v>0</v>
      </c>
      <c r="P97" s="4" t="s">
        <v>174</v>
      </c>
      <c r="S97" s="4" t="s">
        <v>305</v>
      </c>
    </row>
    <row r="98" spans="1:19">
      <c r="A98" s="3" t="s">
        <v>5</v>
      </c>
      <c r="B98" s="3" t="s">
        <v>306</v>
      </c>
      <c r="C98" s="3" t="s">
        <v>249</v>
      </c>
      <c r="D98" s="3" t="s">
        <v>255</v>
      </c>
      <c r="G98" s="3" t="s">
        <v>148</v>
      </c>
      <c r="I98" s="3" t="s">
        <v>307</v>
      </c>
      <c r="K98" s="3">
        <v>0</v>
      </c>
      <c r="M98" s="3">
        <v>0</v>
      </c>
      <c r="P98" s="3" t="s">
        <v>36</v>
      </c>
      <c r="S98" s="3" t="s">
        <v>308</v>
      </c>
    </row>
    <row r="99" spans="1:19">
      <c r="A99" s="4" t="s">
        <v>5</v>
      </c>
      <c r="B99" s="4" t="s">
        <v>309</v>
      </c>
      <c r="C99" s="4" t="s">
        <v>262</v>
      </c>
      <c r="D99" s="4" t="s">
        <v>267</v>
      </c>
      <c r="G99" s="4" t="s">
        <v>148</v>
      </c>
      <c r="I99" s="4" t="s">
        <v>310</v>
      </c>
      <c r="K99" s="3">
        <v>0</v>
      </c>
      <c r="M99" s="3">
        <v>0</v>
      </c>
      <c r="P99" s="4" t="s">
        <v>36</v>
      </c>
      <c r="S99" s="4" t="s">
        <v>311</v>
      </c>
    </row>
    <row r="100" spans="1:19">
      <c r="A100" s="3" t="s">
        <v>5</v>
      </c>
      <c r="B100" s="3" t="s">
        <v>312</v>
      </c>
      <c r="C100" s="3" t="s">
        <v>262</v>
      </c>
      <c r="D100" s="3" t="s">
        <v>250</v>
      </c>
      <c r="G100" s="3" t="s">
        <v>148</v>
      </c>
      <c r="I100" s="3" t="s">
        <v>313</v>
      </c>
      <c r="K100" s="3">
        <v>0</v>
      </c>
      <c r="M100" s="3">
        <v>0</v>
      </c>
      <c r="P100" s="3" t="s">
        <v>36</v>
      </c>
      <c r="S100" s="3" t="s">
        <v>314</v>
      </c>
    </row>
    <row r="101" spans="1:19">
      <c r="A101" s="4" t="s">
        <v>5</v>
      </c>
      <c r="B101" s="4" t="s">
        <v>315</v>
      </c>
      <c r="C101" s="4" t="s">
        <v>254</v>
      </c>
      <c r="D101" s="4" t="s">
        <v>255</v>
      </c>
      <c r="G101" s="4" t="s">
        <v>148</v>
      </c>
      <c r="I101" s="4" t="s">
        <v>316</v>
      </c>
      <c r="K101" s="3">
        <v>0</v>
      </c>
      <c r="M101" s="3">
        <v>0</v>
      </c>
      <c r="P101" s="4" t="s">
        <v>36</v>
      </c>
      <c r="S101" s="4" t="s">
        <v>317</v>
      </c>
    </row>
    <row r="102" spans="1:19">
      <c r="A102" s="3" t="s">
        <v>5</v>
      </c>
      <c r="B102" s="3" t="s">
        <v>318</v>
      </c>
      <c r="C102" s="3" t="s">
        <v>249</v>
      </c>
      <c r="D102" s="3" t="s">
        <v>267</v>
      </c>
      <c r="G102" s="3" t="s">
        <v>148</v>
      </c>
      <c r="I102" s="3" t="s">
        <v>319</v>
      </c>
      <c r="K102" s="3">
        <v>0</v>
      </c>
      <c r="M102" s="3">
        <v>0</v>
      </c>
      <c r="P102" s="3" t="s">
        <v>36</v>
      </c>
      <c r="S102" s="3" t="s">
        <v>320</v>
      </c>
    </row>
    <row r="103" spans="1:19">
      <c r="A103" s="4" t="s">
        <v>5</v>
      </c>
      <c r="B103" s="4" t="s">
        <v>321</v>
      </c>
      <c r="C103" s="4" t="s">
        <v>262</v>
      </c>
      <c r="D103" s="4" t="s">
        <v>250</v>
      </c>
      <c r="G103" s="4" t="s">
        <v>166</v>
      </c>
      <c r="I103" s="4" t="s">
        <v>322</v>
      </c>
      <c r="K103" s="3">
        <v>0</v>
      </c>
      <c r="M103" s="3">
        <v>0</v>
      </c>
      <c r="P103" s="4" t="s">
        <v>36</v>
      </c>
      <c r="S103" s="4" t="s">
        <v>323</v>
      </c>
    </row>
    <row r="104" spans="1:19">
      <c r="A104" s="3" t="s">
        <v>5</v>
      </c>
      <c r="B104" s="3" t="s">
        <v>324</v>
      </c>
      <c r="C104" s="3" t="s">
        <v>249</v>
      </c>
      <c r="D104" s="3" t="s">
        <v>255</v>
      </c>
      <c r="G104" s="3" t="s">
        <v>209</v>
      </c>
      <c r="I104" s="3" t="s">
        <v>325</v>
      </c>
      <c r="K104" s="3">
        <v>0</v>
      </c>
      <c r="M104" s="3">
        <v>0</v>
      </c>
      <c r="P104" s="3" t="s">
        <v>36</v>
      </c>
      <c r="S104" s="3" t="s">
        <v>326</v>
      </c>
    </row>
    <row r="105" spans="1:19">
      <c r="A105" s="4" t="s">
        <v>5</v>
      </c>
      <c r="B105" s="4" t="s">
        <v>327</v>
      </c>
      <c r="C105" s="4" t="s">
        <v>262</v>
      </c>
      <c r="D105" s="4" t="s">
        <v>267</v>
      </c>
      <c r="G105" s="4" t="s">
        <v>166</v>
      </c>
      <c r="I105" s="4" t="s">
        <v>328</v>
      </c>
      <c r="K105" s="3">
        <v>0</v>
      </c>
      <c r="M105" s="3">
        <v>0</v>
      </c>
      <c r="P105" s="4" t="s">
        <v>36</v>
      </c>
      <c r="S105" s="4" t="s">
        <v>329</v>
      </c>
    </row>
    <row r="106" spans="1:19">
      <c r="A106" s="3" t="s">
        <v>5</v>
      </c>
      <c r="B106" s="3" t="s">
        <v>330</v>
      </c>
      <c r="C106" s="3" t="s">
        <v>249</v>
      </c>
      <c r="D106" s="3" t="s">
        <v>267</v>
      </c>
      <c r="G106" s="3" t="s">
        <v>148</v>
      </c>
      <c r="I106" s="3" t="s">
        <v>331</v>
      </c>
      <c r="K106" s="3">
        <v>0</v>
      </c>
      <c r="M106" s="3">
        <v>0</v>
      </c>
      <c r="P106" s="3" t="s">
        <v>36</v>
      </c>
      <c r="S106" s="3" t="s">
        <v>332</v>
      </c>
    </row>
    <row r="107" spans="1:19">
      <c r="A107" s="4" t="s">
        <v>5</v>
      </c>
      <c r="B107" s="4" t="s">
        <v>333</v>
      </c>
      <c r="C107" s="4" t="s">
        <v>249</v>
      </c>
      <c r="D107" s="4" t="s">
        <v>255</v>
      </c>
      <c r="G107" s="4" t="s">
        <v>148</v>
      </c>
      <c r="I107" s="4" t="s">
        <v>334</v>
      </c>
      <c r="K107" s="3">
        <v>0</v>
      </c>
      <c r="M107" s="3">
        <v>0</v>
      </c>
      <c r="P107" s="4" t="s">
        <v>36</v>
      </c>
      <c r="S107" s="4" t="s">
        <v>335</v>
      </c>
    </row>
    <row r="108" spans="1:19">
      <c r="A108" s="3" t="s">
        <v>5</v>
      </c>
      <c r="B108" s="3" t="s">
        <v>336</v>
      </c>
      <c r="C108" s="3" t="s">
        <v>262</v>
      </c>
      <c r="D108" s="3" t="s">
        <v>255</v>
      </c>
      <c r="G108" s="3" t="s">
        <v>148</v>
      </c>
      <c r="I108" s="3" t="s">
        <v>337</v>
      </c>
      <c r="K108" s="3">
        <v>0</v>
      </c>
      <c r="M108" s="3">
        <v>0</v>
      </c>
      <c r="P108" s="3" t="s">
        <v>36</v>
      </c>
      <c r="S108" s="3" t="s">
        <v>338</v>
      </c>
    </row>
    <row r="109" spans="1:19">
      <c r="A109" s="4" t="s">
        <v>5</v>
      </c>
      <c r="B109" s="4" t="s">
        <v>339</v>
      </c>
      <c r="C109" s="4" t="s">
        <v>262</v>
      </c>
      <c r="D109" s="4" t="s">
        <v>267</v>
      </c>
      <c r="G109" s="4" t="s">
        <v>148</v>
      </c>
      <c r="I109" s="4" t="s">
        <v>340</v>
      </c>
      <c r="K109" s="3">
        <v>0</v>
      </c>
      <c r="M109" s="3">
        <v>0</v>
      </c>
      <c r="P109" s="4" t="s">
        <v>36</v>
      </c>
      <c r="S109" s="4" t="s">
        <v>341</v>
      </c>
    </row>
    <row r="110" spans="1:19">
      <c r="A110" s="3" t="s">
        <v>5</v>
      </c>
      <c r="B110" s="3" t="s">
        <v>342</v>
      </c>
      <c r="C110" s="3" t="s">
        <v>262</v>
      </c>
      <c r="D110" s="3" t="s">
        <v>250</v>
      </c>
      <c r="G110" s="3" t="s">
        <v>209</v>
      </c>
      <c r="I110" s="3" t="s">
        <v>343</v>
      </c>
      <c r="K110" s="3">
        <v>0</v>
      </c>
      <c r="M110" s="3">
        <v>0</v>
      </c>
      <c r="P110" s="3" t="s">
        <v>36</v>
      </c>
      <c r="S110" s="3" t="s">
        <v>344</v>
      </c>
    </row>
    <row r="111" spans="1:19">
      <c r="A111" s="4" t="s">
        <v>5</v>
      </c>
      <c r="B111" s="4" t="s">
        <v>345</v>
      </c>
      <c r="C111" s="4" t="s">
        <v>284</v>
      </c>
      <c r="D111" s="4" t="s">
        <v>255</v>
      </c>
      <c r="G111" s="4" t="s">
        <v>209</v>
      </c>
      <c r="I111" s="4" t="s">
        <v>346</v>
      </c>
      <c r="K111" s="3">
        <v>0</v>
      </c>
      <c r="M111" s="3">
        <v>0</v>
      </c>
      <c r="P111" s="4" t="s">
        <v>36</v>
      </c>
      <c r="S111" s="4" t="s">
        <v>347</v>
      </c>
    </row>
    <row r="112" spans="1:19">
      <c r="A112" s="3" t="s">
        <v>5</v>
      </c>
      <c r="B112" s="3" t="s">
        <v>348</v>
      </c>
      <c r="C112" s="3" t="s">
        <v>254</v>
      </c>
      <c r="D112" s="3" t="s">
        <v>267</v>
      </c>
      <c r="G112" s="3" t="s">
        <v>209</v>
      </c>
      <c r="I112" s="3" t="s">
        <v>349</v>
      </c>
      <c r="K112" s="3">
        <v>0</v>
      </c>
      <c r="M112" s="3">
        <v>0</v>
      </c>
      <c r="P112" s="3" t="s">
        <v>36</v>
      </c>
      <c r="S112" s="3" t="s">
        <v>350</v>
      </c>
    </row>
    <row r="113" spans="1:19">
      <c r="A113" s="4" t="s">
        <v>6</v>
      </c>
      <c r="B113" s="4" t="s">
        <v>351</v>
      </c>
      <c r="C113" s="4" t="s">
        <v>352</v>
      </c>
      <c r="H113" s="3">
        <v>600</v>
      </c>
      <c r="I113" s="4" t="s">
        <v>353</v>
      </c>
      <c r="K113" s="3">
        <v>0</v>
      </c>
      <c r="M113" s="3">
        <v>0</v>
      </c>
      <c r="P113" s="4" t="s">
        <v>174</v>
      </c>
      <c r="S113" s="4" t="s">
        <v>354</v>
      </c>
    </row>
    <row r="114" spans="1:19">
      <c r="A114" s="3" t="s">
        <v>6</v>
      </c>
      <c r="B114" s="3" t="s">
        <v>355</v>
      </c>
      <c r="C114" s="3" t="s">
        <v>356</v>
      </c>
      <c r="H114" s="3">
        <v>450</v>
      </c>
      <c r="I114" s="3" t="s">
        <v>357</v>
      </c>
      <c r="K114" s="3">
        <v>0</v>
      </c>
      <c r="M114" s="3">
        <v>0</v>
      </c>
      <c r="P114" s="3" t="s">
        <v>36</v>
      </c>
      <c r="S114" s="3" t="s">
        <v>358</v>
      </c>
    </row>
    <row r="115" spans="1:19">
      <c r="A115" s="4" t="s">
        <v>6</v>
      </c>
      <c r="B115" s="4" t="s">
        <v>359</v>
      </c>
      <c r="C115" s="4" t="s">
        <v>360</v>
      </c>
      <c r="H115" s="3">
        <v>550</v>
      </c>
      <c r="I115" s="4" t="s">
        <v>361</v>
      </c>
      <c r="K115" s="3">
        <v>0</v>
      </c>
      <c r="M115" s="3">
        <v>0</v>
      </c>
      <c r="P115" s="4" t="s">
        <v>36</v>
      </c>
      <c r="S115" s="4" t="s">
        <v>362</v>
      </c>
    </row>
    <row r="116" spans="1:19">
      <c r="A116" s="3" t="s">
        <v>6</v>
      </c>
      <c r="B116" s="3" t="s">
        <v>363</v>
      </c>
      <c r="C116" s="3" t="s">
        <v>364</v>
      </c>
      <c r="H116" s="3">
        <v>1000</v>
      </c>
      <c r="I116" s="3" t="s">
        <v>365</v>
      </c>
      <c r="K116" s="3">
        <v>0</v>
      </c>
      <c r="M116" s="3">
        <v>0</v>
      </c>
      <c r="P116" s="3" t="s">
        <v>36</v>
      </c>
      <c r="S116" s="3" t="s">
        <v>366</v>
      </c>
    </row>
    <row r="117" spans="1:19">
      <c r="A117" s="4" t="s">
        <v>6</v>
      </c>
      <c r="B117" s="4" t="s">
        <v>367</v>
      </c>
      <c r="C117" s="4" t="s">
        <v>364</v>
      </c>
      <c r="H117" s="3">
        <v>750</v>
      </c>
      <c r="I117" s="4" t="s">
        <v>368</v>
      </c>
      <c r="K117" s="3">
        <v>0</v>
      </c>
      <c r="M117" s="3">
        <v>0</v>
      </c>
      <c r="P117" s="4" t="s">
        <v>36</v>
      </c>
      <c r="S117" s="4" t="s">
        <v>369</v>
      </c>
    </row>
    <row r="118" spans="1:19">
      <c r="A118" s="3" t="s">
        <v>6</v>
      </c>
      <c r="B118" s="3" t="s">
        <v>370</v>
      </c>
      <c r="C118" s="3" t="s">
        <v>364</v>
      </c>
      <c r="H118" s="3">
        <v>850</v>
      </c>
      <c r="I118" s="3" t="s">
        <v>371</v>
      </c>
      <c r="K118" s="3">
        <v>0</v>
      </c>
      <c r="M118" s="3">
        <v>0</v>
      </c>
      <c r="P118" s="3" t="s">
        <v>36</v>
      </c>
      <c r="S118" s="3" t="s">
        <v>372</v>
      </c>
    </row>
    <row r="119" spans="1:19">
      <c r="A119" s="4" t="s">
        <v>6</v>
      </c>
      <c r="B119" s="4" t="s">
        <v>373</v>
      </c>
      <c r="C119" s="4" t="s">
        <v>364</v>
      </c>
      <c r="H119" s="3">
        <v>1000</v>
      </c>
      <c r="I119" s="4" t="s">
        <v>374</v>
      </c>
      <c r="K119" s="3">
        <v>0</v>
      </c>
      <c r="M119" s="3">
        <v>0</v>
      </c>
      <c r="P119" s="4" t="s">
        <v>36</v>
      </c>
      <c r="S119" s="4" t="s">
        <v>375</v>
      </c>
    </row>
    <row r="120" spans="1:19">
      <c r="A120" s="3" t="s">
        <v>6</v>
      </c>
      <c r="B120" s="3" t="s">
        <v>376</v>
      </c>
      <c r="C120" s="3" t="s">
        <v>364</v>
      </c>
      <c r="H120" s="3">
        <v>750</v>
      </c>
      <c r="I120" s="3" t="s">
        <v>377</v>
      </c>
      <c r="K120" s="3">
        <v>0</v>
      </c>
      <c r="M120" s="3">
        <v>0</v>
      </c>
      <c r="P120" s="3" t="s">
        <v>36</v>
      </c>
      <c r="S120" s="3" t="s">
        <v>378</v>
      </c>
    </row>
    <row r="121" spans="1:19">
      <c r="A121" s="4" t="s">
        <v>6</v>
      </c>
      <c r="B121" s="4" t="s">
        <v>379</v>
      </c>
      <c r="C121" s="4" t="s">
        <v>364</v>
      </c>
      <c r="H121" s="3">
        <v>850</v>
      </c>
      <c r="I121" s="4" t="s">
        <v>380</v>
      </c>
      <c r="K121" s="3">
        <v>0</v>
      </c>
      <c r="M121" s="3">
        <v>0</v>
      </c>
      <c r="P121" s="4" t="s">
        <v>36</v>
      </c>
      <c r="S121" s="4" t="s">
        <v>381</v>
      </c>
    </row>
    <row r="122" spans="1:19">
      <c r="A122" s="3" t="s">
        <v>6</v>
      </c>
      <c r="B122" s="3" t="s">
        <v>382</v>
      </c>
      <c r="C122" s="3" t="s">
        <v>356</v>
      </c>
      <c r="H122" s="3">
        <v>500</v>
      </c>
      <c r="I122" s="3" t="s">
        <v>383</v>
      </c>
      <c r="K122" s="3">
        <v>0</v>
      </c>
      <c r="M122" s="3">
        <v>0</v>
      </c>
      <c r="P122" s="3" t="s">
        <v>36</v>
      </c>
      <c r="S122" s="3" t="s">
        <v>384</v>
      </c>
    </row>
    <row r="123" spans="1:19">
      <c r="A123" s="4" t="s">
        <v>6</v>
      </c>
      <c r="B123" s="4" t="s">
        <v>385</v>
      </c>
      <c r="C123" s="4" t="s">
        <v>386</v>
      </c>
      <c r="H123" s="3">
        <v>1000</v>
      </c>
      <c r="I123" s="4" t="s">
        <v>387</v>
      </c>
      <c r="K123" s="3">
        <v>0</v>
      </c>
      <c r="M123" s="3">
        <v>0</v>
      </c>
      <c r="P123" s="4" t="s">
        <v>36</v>
      </c>
      <c r="S123" s="4" t="s">
        <v>388</v>
      </c>
    </row>
    <row r="124" spans="1:19">
      <c r="A124" s="3" t="s">
        <v>6</v>
      </c>
      <c r="B124" s="3" t="s">
        <v>389</v>
      </c>
      <c r="C124" s="3" t="s">
        <v>390</v>
      </c>
      <c r="H124" s="3">
        <v>600</v>
      </c>
      <c r="I124" s="3" t="s">
        <v>391</v>
      </c>
      <c r="K124" s="3">
        <v>0</v>
      </c>
      <c r="M124" s="3">
        <v>0</v>
      </c>
      <c r="P124" s="3" t="s">
        <v>36</v>
      </c>
      <c r="S124" s="3" t="s">
        <v>392</v>
      </c>
    </row>
    <row r="125" spans="1:19">
      <c r="A125" s="4" t="s">
        <v>6</v>
      </c>
      <c r="B125" s="4" t="s">
        <v>393</v>
      </c>
      <c r="C125" s="4" t="s">
        <v>394</v>
      </c>
      <c r="H125" s="3">
        <v>750</v>
      </c>
      <c r="I125" s="4" t="s">
        <v>395</v>
      </c>
      <c r="K125" s="3">
        <v>0</v>
      </c>
      <c r="M125" s="3">
        <v>0</v>
      </c>
      <c r="P125" s="4" t="s">
        <v>36</v>
      </c>
      <c r="S125" s="4" t="s">
        <v>396</v>
      </c>
    </row>
    <row r="126" spans="1:19">
      <c r="A126" s="3" t="s">
        <v>6</v>
      </c>
      <c r="B126" s="3" t="s">
        <v>397</v>
      </c>
      <c r="C126" s="3" t="s">
        <v>394</v>
      </c>
      <c r="H126" s="3">
        <v>850</v>
      </c>
      <c r="I126" s="3" t="s">
        <v>398</v>
      </c>
      <c r="K126" s="3">
        <v>0</v>
      </c>
      <c r="M126" s="3">
        <v>0</v>
      </c>
      <c r="P126" s="3" t="s">
        <v>36</v>
      </c>
      <c r="S126" s="3" t="s">
        <v>399</v>
      </c>
    </row>
    <row r="127" spans="1:19">
      <c r="A127" s="4" t="s">
        <v>6</v>
      </c>
      <c r="B127" s="4" t="s">
        <v>400</v>
      </c>
      <c r="C127" s="4" t="s">
        <v>356</v>
      </c>
      <c r="H127" s="3">
        <v>400</v>
      </c>
      <c r="I127" s="4" t="s">
        <v>401</v>
      </c>
      <c r="K127" s="3">
        <v>0</v>
      </c>
      <c r="M127" s="3">
        <v>0</v>
      </c>
      <c r="P127" s="4" t="s">
        <v>36</v>
      </c>
      <c r="S127" s="4" t="s">
        <v>402</v>
      </c>
    </row>
    <row r="128" spans="1:19">
      <c r="A128" s="3" t="s">
        <v>7</v>
      </c>
      <c r="B128" s="3" t="s">
        <v>403</v>
      </c>
      <c r="D128" s="3" t="s">
        <v>404</v>
      </c>
      <c r="I128" s="3" t="s">
        <v>405</v>
      </c>
      <c r="K128" s="3">
        <v>0</v>
      </c>
      <c r="M128" s="3">
        <v>0</v>
      </c>
      <c r="P128" s="3" t="s">
        <v>174</v>
      </c>
      <c r="S128" s="3" t="s">
        <v>406</v>
      </c>
    </row>
    <row r="129" spans="1:19">
      <c r="A129" s="4" t="s">
        <v>7</v>
      </c>
      <c r="B129" s="4" t="s">
        <v>407</v>
      </c>
      <c r="C129" s="4" t="s">
        <v>408</v>
      </c>
      <c r="D129" s="4" t="s">
        <v>255</v>
      </c>
      <c r="I129" s="4" t="s">
        <v>409</v>
      </c>
      <c r="K129" s="3">
        <v>0</v>
      </c>
      <c r="M129" s="3">
        <v>0</v>
      </c>
      <c r="P129" s="4" t="s">
        <v>36</v>
      </c>
      <c r="S129" s="4" t="s">
        <v>410</v>
      </c>
    </row>
    <row r="130" spans="1:19">
      <c r="A130" s="3" t="s">
        <v>7</v>
      </c>
      <c r="B130" s="3" t="s">
        <v>411</v>
      </c>
      <c r="C130" s="3" t="s">
        <v>254</v>
      </c>
      <c r="D130" s="3" t="s">
        <v>250</v>
      </c>
      <c r="I130" s="3" t="s">
        <v>412</v>
      </c>
      <c r="K130" s="3">
        <v>0</v>
      </c>
      <c r="M130" s="3">
        <v>0</v>
      </c>
      <c r="P130" s="3" t="s">
        <v>36</v>
      </c>
      <c r="S130" s="3" t="s">
        <v>413</v>
      </c>
    </row>
    <row r="131" spans="1:19">
      <c r="A131" s="4" t="s">
        <v>7</v>
      </c>
      <c r="B131" s="4" t="s">
        <v>414</v>
      </c>
      <c r="C131" s="4" t="s">
        <v>254</v>
      </c>
      <c r="D131" s="4" t="s">
        <v>255</v>
      </c>
      <c r="I131" s="4" t="s">
        <v>415</v>
      </c>
      <c r="K131" s="3">
        <v>0</v>
      </c>
      <c r="M131" s="3">
        <v>0</v>
      </c>
      <c r="P131" s="4" t="s">
        <v>36</v>
      </c>
      <c r="S131" s="4" t="s">
        <v>416</v>
      </c>
    </row>
    <row r="132" spans="1:19">
      <c r="A132" s="3" t="s">
        <v>7</v>
      </c>
      <c r="B132" s="3" t="s">
        <v>417</v>
      </c>
      <c r="C132" s="3" t="s">
        <v>408</v>
      </c>
      <c r="D132" s="3" t="s">
        <v>250</v>
      </c>
      <c r="I132" s="3" t="s">
        <v>418</v>
      </c>
      <c r="K132" s="3">
        <v>0</v>
      </c>
      <c r="M132" s="3">
        <v>0</v>
      </c>
      <c r="P132" s="3" t="s">
        <v>36</v>
      </c>
      <c r="S132" s="3" t="s">
        <v>419</v>
      </c>
    </row>
    <row r="133" spans="1:19">
      <c r="A133" s="4" t="s">
        <v>7</v>
      </c>
      <c r="B133" s="4" t="s">
        <v>420</v>
      </c>
      <c r="C133" s="4" t="s">
        <v>408</v>
      </c>
      <c r="D133" s="4" t="s">
        <v>267</v>
      </c>
      <c r="I133" s="4" t="s">
        <v>421</v>
      </c>
      <c r="K133" s="3">
        <v>0</v>
      </c>
      <c r="M133" s="3">
        <v>0</v>
      </c>
      <c r="P133" s="4" t="s">
        <v>36</v>
      </c>
      <c r="S133" s="4" t="s">
        <v>422</v>
      </c>
    </row>
    <row r="134" spans="1:19">
      <c r="A134" s="3" t="s">
        <v>7</v>
      </c>
      <c r="B134" s="3" t="s">
        <v>423</v>
      </c>
      <c r="C134" s="3" t="s">
        <v>408</v>
      </c>
      <c r="D134" s="3" t="s">
        <v>267</v>
      </c>
      <c r="I134" s="3" t="s">
        <v>424</v>
      </c>
      <c r="K134" s="3">
        <v>0</v>
      </c>
      <c r="M134" s="3">
        <v>0</v>
      </c>
      <c r="P134" s="3" t="s">
        <v>36</v>
      </c>
      <c r="S134" s="3" t="s">
        <v>425</v>
      </c>
    </row>
    <row r="135" spans="1:19">
      <c r="A135" s="4" t="s">
        <v>7</v>
      </c>
      <c r="B135" s="4" t="s">
        <v>426</v>
      </c>
      <c r="C135" s="4" t="s">
        <v>408</v>
      </c>
      <c r="D135" s="4" t="s">
        <v>255</v>
      </c>
      <c r="I135" s="4" t="s">
        <v>427</v>
      </c>
      <c r="K135" s="3">
        <v>0</v>
      </c>
      <c r="M135" s="3">
        <v>0</v>
      </c>
      <c r="P135" s="4" t="s">
        <v>36</v>
      </c>
      <c r="S135" s="4" t="s">
        <v>428</v>
      </c>
    </row>
    <row r="136" spans="1:19">
      <c r="A136" s="3" t="s">
        <v>7</v>
      </c>
      <c r="B136" s="3" t="s">
        <v>429</v>
      </c>
      <c r="C136" s="3" t="s">
        <v>430</v>
      </c>
      <c r="D136" s="3" t="s">
        <v>250</v>
      </c>
      <c r="I136" s="3" t="s">
        <v>431</v>
      </c>
      <c r="K136" s="3">
        <v>0</v>
      </c>
      <c r="M136" s="3">
        <v>0</v>
      </c>
      <c r="P136" s="3" t="s">
        <v>36</v>
      </c>
      <c r="S136" s="3" t="s">
        <v>432</v>
      </c>
    </row>
    <row r="137" spans="1:19">
      <c r="A137" s="4" t="s">
        <v>7</v>
      </c>
      <c r="B137" s="4" t="s">
        <v>433</v>
      </c>
      <c r="C137" s="4" t="s">
        <v>430</v>
      </c>
      <c r="D137" s="4" t="s">
        <v>250</v>
      </c>
      <c r="I137" s="4" t="s">
        <v>434</v>
      </c>
      <c r="K137" s="3">
        <v>0</v>
      </c>
      <c r="M137" s="3">
        <v>0</v>
      </c>
      <c r="P137" s="4" t="s">
        <v>36</v>
      </c>
      <c r="S137" s="4" t="s">
        <v>435</v>
      </c>
    </row>
    <row r="138" spans="1:19">
      <c r="A138" s="3" t="s">
        <v>7</v>
      </c>
      <c r="B138" s="3" t="s">
        <v>436</v>
      </c>
      <c r="C138" s="3" t="s">
        <v>430</v>
      </c>
      <c r="D138" s="3" t="s">
        <v>255</v>
      </c>
      <c r="I138" s="3" t="s">
        <v>437</v>
      </c>
      <c r="K138" s="3">
        <v>0</v>
      </c>
      <c r="M138" s="3">
        <v>0</v>
      </c>
      <c r="P138" s="3" t="s">
        <v>36</v>
      </c>
      <c r="S138" s="3" t="s">
        <v>438</v>
      </c>
    </row>
    <row r="139" spans="1:19">
      <c r="A139" s="4" t="s">
        <v>7</v>
      </c>
      <c r="B139" s="4" t="s">
        <v>439</v>
      </c>
      <c r="C139" s="4" t="s">
        <v>408</v>
      </c>
      <c r="D139" s="4" t="s">
        <v>255</v>
      </c>
      <c r="I139" s="4" t="s">
        <v>440</v>
      </c>
      <c r="K139" s="3">
        <v>0</v>
      </c>
      <c r="M139" s="3">
        <v>0</v>
      </c>
      <c r="P139" s="4" t="s">
        <v>36</v>
      </c>
      <c r="S139" s="4" t="s">
        <v>441</v>
      </c>
    </row>
    <row r="140" spans="1:19">
      <c r="A140" s="3" t="s">
        <v>7</v>
      </c>
      <c r="B140" s="3" t="s">
        <v>442</v>
      </c>
      <c r="C140" s="3" t="s">
        <v>408</v>
      </c>
      <c r="D140" s="3" t="s">
        <v>250</v>
      </c>
      <c r="I140" s="3" t="s">
        <v>443</v>
      </c>
      <c r="K140" s="3">
        <v>0</v>
      </c>
      <c r="M140" s="3">
        <v>0</v>
      </c>
      <c r="P140" s="3" t="s">
        <v>36</v>
      </c>
      <c r="S140" s="3" t="s">
        <v>444</v>
      </c>
    </row>
    <row r="141" spans="1:19">
      <c r="A141" s="4" t="s">
        <v>7</v>
      </c>
      <c r="B141" s="4" t="s">
        <v>445</v>
      </c>
      <c r="C141" s="4" t="s">
        <v>430</v>
      </c>
      <c r="D141" s="4" t="s">
        <v>267</v>
      </c>
      <c r="I141" s="4" t="s">
        <v>446</v>
      </c>
      <c r="K141" s="3">
        <v>0</v>
      </c>
      <c r="M141" s="3">
        <v>0</v>
      </c>
      <c r="P141" s="4" t="s">
        <v>36</v>
      </c>
      <c r="S141" s="4" t="s">
        <v>447</v>
      </c>
    </row>
    <row r="142" spans="1:19">
      <c r="A142" s="3" t="s">
        <v>7</v>
      </c>
      <c r="B142" s="3" t="s">
        <v>448</v>
      </c>
      <c r="C142" s="3" t="s">
        <v>408</v>
      </c>
      <c r="D142" s="3" t="s">
        <v>267</v>
      </c>
      <c r="I142" s="3" t="s">
        <v>449</v>
      </c>
      <c r="K142" s="3">
        <v>0</v>
      </c>
      <c r="M142" s="3">
        <v>0</v>
      </c>
      <c r="P142" s="3" t="s">
        <v>36</v>
      </c>
      <c r="S142" s="3" t="s">
        <v>450</v>
      </c>
    </row>
    <row r="143" spans="1:19">
      <c r="A143" s="4" t="s">
        <v>7</v>
      </c>
      <c r="B143" s="4" t="s">
        <v>451</v>
      </c>
      <c r="C143" s="4" t="s">
        <v>408</v>
      </c>
      <c r="D143" s="4" t="s">
        <v>267</v>
      </c>
      <c r="I143" s="4" t="s">
        <v>452</v>
      </c>
      <c r="K143" s="3">
        <v>0</v>
      </c>
      <c r="M143" s="3">
        <v>0</v>
      </c>
      <c r="P143" s="4" t="s">
        <v>36</v>
      </c>
      <c r="S143" s="4" t="s">
        <v>453</v>
      </c>
    </row>
    <row r="144" spans="1:19">
      <c r="A144" s="3" t="s">
        <v>7</v>
      </c>
      <c r="B144" s="3" t="s">
        <v>454</v>
      </c>
      <c r="C144" s="3" t="s">
        <v>254</v>
      </c>
      <c r="D144" s="3" t="s">
        <v>250</v>
      </c>
      <c r="I144" s="3" t="s">
        <v>455</v>
      </c>
      <c r="K144" s="3">
        <v>0</v>
      </c>
      <c r="M144" s="3">
        <v>0</v>
      </c>
      <c r="P144" s="3" t="s">
        <v>36</v>
      </c>
      <c r="S144" s="3" t="s">
        <v>456</v>
      </c>
    </row>
    <row r="145" spans="1:19">
      <c r="A145" s="4" t="s">
        <v>7</v>
      </c>
      <c r="B145" s="4" t="s">
        <v>457</v>
      </c>
      <c r="C145" s="4" t="s">
        <v>430</v>
      </c>
      <c r="D145" s="4" t="s">
        <v>255</v>
      </c>
      <c r="I145" s="4" t="s">
        <v>458</v>
      </c>
      <c r="K145" s="3">
        <v>0</v>
      </c>
      <c r="M145" s="3">
        <v>0</v>
      </c>
      <c r="P145" s="4" t="s">
        <v>36</v>
      </c>
      <c r="S145" s="4" t="s">
        <v>459</v>
      </c>
    </row>
    <row r="146" spans="1:19">
      <c r="A146" s="3" t="s">
        <v>7</v>
      </c>
      <c r="B146" s="3" t="s">
        <v>460</v>
      </c>
      <c r="C146" s="3" t="s">
        <v>254</v>
      </c>
      <c r="D146" s="3" t="s">
        <v>267</v>
      </c>
      <c r="I146" s="3" t="s">
        <v>461</v>
      </c>
      <c r="K146" s="3">
        <v>0</v>
      </c>
      <c r="M146" s="3">
        <v>0</v>
      </c>
      <c r="P146" s="3" t="s">
        <v>36</v>
      </c>
      <c r="S146" s="3" t="s">
        <v>462</v>
      </c>
    </row>
    <row r="147" spans="1:19">
      <c r="A147" s="4" t="s">
        <v>8</v>
      </c>
      <c r="B147" s="4" t="s">
        <v>463</v>
      </c>
      <c r="D147" s="4" t="s">
        <v>147</v>
      </c>
      <c r="I147" s="4" t="s">
        <v>464</v>
      </c>
      <c r="K147" s="3">
        <v>0</v>
      </c>
      <c r="M147" s="3">
        <v>0</v>
      </c>
      <c r="P147" s="4" t="s">
        <v>36</v>
      </c>
      <c r="S147" s="4" t="s">
        <v>465</v>
      </c>
    </row>
    <row r="148" spans="1:19">
      <c r="A148" s="3" t="s">
        <v>8</v>
      </c>
      <c r="B148" s="3" t="s">
        <v>466</v>
      </c>
      <c r="D148" s="3" t="s">
        <v>147</v>
      </c>
      <c r="I148" s="3" t="s">
        <v>467</v>
      </c>
      <c r="K148" s="3">
        <v>0</v>
      </c>
      <c r="M148" s="3">
        <v>0</v>
      </c>
      <c r="P148" s="3" t="s">
        <v>36</v>
      </c>
      <c r="S148" s="3" t="s">
        <v>468</v>
      </c>
    </row>
    <row r="149" spans="1:19">
      <c r="A149" s="4" t="s">
        <v>8</v>
      </c>
      <c r="B149" s="4" t="s">
        <v>469</v>
      </c>
      <c r="D149" s="4" t="s">
        <v>147</v>
      </c>
      <c r="I149" s="4" t="s">
        <v>470</v>
      </c>
      <c r="K149" s="3">
        <v>0</v>
      </c>
      <c r="M149" s="3">
        <v>0</v>
      </c>
      <c r="P149" s="4" t="s">
        <v>36</v>
      </c>
      <c r="S149" s="4" t="s">
        <v>471</v>
      </c>
    </row>
    <row r="150" spans="1:19">
      <c r="A150" s="3" t="s">
        <v>8</v>
      </c>
      <c r="B150" s="3" t="s">
        <v>472</v>
      </c>
      <c r="D150" s="3" t="s">
        <v>147</v>
      </c>
      <c r="I150" s="3" t="s">
        <v>473</v>
      </c>
      <c r="K150" s="3">
        <v>0</v>
      </c>
      <c r="M150" s="3">
        <v>0</v>
      </c>
      <c r="P150" s="3" t="s">
        <v>36</v>
      </c>
      <c r="S150" s="3" t="s">
        <v>474</v>
      </c>
    </row>
    <row r="151" spans="1:19">
      <c r="A151" s="4" t="s">
        <v>8</v>
      </c>
      <c r="B151" s="4" t="s">
        <v>475</v>
      </c>
      <c r="D151" s="4" t="s">
        <v>147</v>
      </c>
      <c r="I151" s="4" t="s">
        <v>476</v>
      </c>
      <c r="K151" s="3">
        <v>0</v>
      </c>
      <c r="M151" s="3">
        <v>0</v>
      </c>
      <c r="P151" s="4" t="s">
        <v>36</v>
      </c>
      <c r="S151" s="4" t="s">
        <v>477</v>
      </c>
    </row>
    <row r="152" spans="1:19">
      <c r="A152" s="3" t="s">
        <v>8</v>
      </c>
      <c r="B152" s="3" t="s">
        <v>478</v>
      </c>
      <c r="D152" s="3" t="s">
        <v>147</v>
      </c>
      <c r="I152" s="3" t="s">
        <v>479</v>
      </c>
      <c r="K152" s="3">
        <v>0</v>
      </c>
      <c r="M152" s="3">
        <v>0</v>
      </c>
      <c r="P152" s="3" t="s">
        <v>36</v>
      </c>
      <c r="S152" s="3" t="s">
        <v>480</v>
      </c>
    </row>
    <row r="153" spans="1:19">
      <c r="A153" s="4" t="s">
        <v>8</v>
      </c>
      <c r="B153" s="4" t="s">
        <v>481</v>
      </c>
      <c r="D153" s="4" t="s">
        <v>147</v>
      </c>
      <c r="I153" s="4" t="s">
        <v>482</v>
      </c>
      <c r="K153" s="3">
        <v>0</v>
      </c>
      <c r="M153" s="3">
        <v>0</v>
      </c>
      <c r="P153" s="4" t="s">
        <v>36</v>
      </c>
      <c r="S153" s="4" t="s">
        <v>483</v>
      </c>
    </row>
    <row r="154" spans="1:19">
      <c r="A154" s="3" t="s">
        <v>8</v>
      </c>
      <c r="B154" s="3" t="s">
        <v>484</v>
      </c>
      <c r="D154" s="3" t="s">
        <v>147</v>
      </c>
      <c r="I154" s="3" t="s">
        <v>485</v>
      </c>
      <c r="K154" s="3">
        <v>0</v>
      </c>
      <c r="M154" s="3">
        <v>0</v>
      </c>
      <c r="P154" s="3" t="s">
        <v>36</v>
      </c>
      <c r="S154" s="3" t="s">
        <v>486</v>
      </c>
    </row>
    <row r="155" spans="1:19">
      <c r="A155" s="4" t="s">
        <v>8</v>
      </c>
      <c r="B155" s="4" t="s">
        <v>487</v>
      </c>
      <c r="D155" s="4" t="s">
        <v>147</v>
      </c>
      <c r="I155" s="4" t="s">
        <v>488</v>
      </c>
      <c r="K155" s="3">
        <v>0</v>
      </c>
      <c r="M155" s="3">
        <v>0</v>
      </c>
      <c r="P155" s="4" t="s">
        <v>36</v>
      </c>
      <c r="S155" s="4" t="s">
        <v>489</v>
      </c>
    </row>
    <row r="156" spans="1:19">
      <c r="A156" s="3" t="s">
        <v>9</v>
      </c>
      <c r="B156" s="3" t="s">
        <v>490</v>
      </c>
      <c r="D156" s="3" t="s">
        <v>491</v>
      </c>
      <c r="H156" s="3">
        <v>1000</v>
      </c>
      <c r="I156" s="3" t="s">
        <v>492</v>
      </c>
      <c r="K156" s="3">
        <v>0</v>
      </c>
      <c r="M156" s="3">
        <v>0</v>
      </c>
      <c r="P156" s="3" t="s">
        <v>36</v>
      </c>
      <c r="S156" s="3" t="s">
        <v>493</v>
      </c>
    </row>
    <row r="157" spans="1:19">
      <c r="A157" s="4" t="s">
        <v>9</v>
      </c>
      <c r="B157" s="4" t="s">
        <v>494</v>
      </c>
      <c r="D157" s="4" t="s">
        <v>491</v>
      </c>
      <c r="H157" s="3">
        <v>250</v>
      </c>
      <c r="I157" s="4" t="s">
        <v>495</v>
      </c>
      <c r="K157" s="3">
        <v>0</v>
      </c>
      <c r="M157" s="3">
        <v>0</v>
      </c>
      <c r="P157" s="4" t="s">
        <v>36</v>
      </c>
      <c r="S157" s="4" t="s">
        <v>496</v>
      </c>
    </row>
    <row r="158" spans="1:19">
      <c r="A158" s="3" t="s">
        <v>9</v>
      </c>
      <c r="B158" s="3" t="s">
        <v>497</v>
      </c>
      <c r="D158" s="3" t="s">
        <v>491</v>
      </c>
      <c r="H158" s="3">
        <v>500</v>
      </c>
      <c r="I158" s="3" t="s">
        <v>498</v>
      </c>
      <c r="K158" s="3">
        <v>0</v>
      </c>
      <c r="M158" s="3">
        <v>0</v>
      </c>
      <c r="P158" s="3" t="s">
        <v>36</v>
      </c>
      <c r="S158" s="3" t="s">
        <v>499</v>
      </c>
    </row>
    <row r="159" spans="1:19">
      <c r="A159" s="4" t="s">
        <v>9</v>
      </c>
      <c r="B159" s="4" t="s">
        <v>500</v>
      </c>
      <c r="D159" s="4" t="s">
        <v>491</v>
      </c>
      <c r="H159" s="3">
        <v>240</v>
      </c>
      <c r="I159" s="4" t="s">
        <v>501</v>
      </c>
      <c r="K159" s="3">
        <v>0</v>
      </c>
      <c r="M159" s="3">
        <v>0</v>
      </c>
      <c r="P159" s="4" t="s">
        <v>36</v>
      </c>
      <c r="S159" s="4" t="s">
        <v>502</v>
      </c>
    </row>
    <row r="160" spans="1:19">
      <c r="A160" s="3" t="s">
        <v>9</v>
      </c>
      <c r="B160" s="3" t="s">
        <v>503</v>
      </c>
      <c r="D160" s="3" t="s">
        <v>491</v>
      </c>
      <c r="H160" s="3">
        <v>480</v>
      </c>
      <c r="I160" s="3" t="s">
        <v>504</v>
      </c>
      <c r="K160" s="3">
        <v>0</v>
      </c>
      <c r="M160" s="3">
        <v>0</v>
      </c>
      <c r="P160" s="3" t="s">
        <v>36</v>
      </c>
      <c r="S160" s="3" t="s">
        <v>505</v>
      </c>
    </row>
    <row r="161" spans="1:19">
      <c r="A161" s="4" t="s">
        <v>9</v>
      </c>
      <c r="B161" s="4" t="s">
        <v>506</v>
      </c>
      <c r="D161" s="4" t="s">
        <v>491</v>
      </c>
      <c r="H161" s="3">
        <v>960</v>
      </c>
      <c r="I161" s="4" t="s">
        <v>507</v>
      </c>
      <c r="K161" s="3">
        <v>0</v>
      </c>
      <c r="M161" s="3">
        <v>0</v>
      </c>
      <c r="P161" s="4" t="s">
        <v>36</v>
      </c>
      <c r="S161" s="4" t="s">
        <v>508</v>
      </c>
    </row>
    <row r="162" spans="1:19">
      <c r="A162" s="3" t="s">
        <v>9</v>
      </c>
      <c r="B162" s="3" t="s">
        <v>509</v>
      </c>
      <c r="D162" s="3" t="s">
        <v>491</v>
      </c>
      <c r="H162" s="3">
        <v>1000</v>
      </c>
      <c r="I162" s="3" t="s">
        <v>510</v>
      </c>
      <c r="K162" s="3">
        <v>0</v>
      </c>
      <c r="M162" s="3">
        <v>0</v>
      </c>
      <c r="P162" s="3" t="s">
        <v>36</v>
      </c>
      <c r="S162" s="3" t="s">
        <v>511</v>
      </c>
    </row>
    <row r="163" spans="1:19">
      <c r="A163" s="4" t="s">
        <v>9</v>
      </c>
      <c r="B163" s="4" t="s">
        <v>512</v>
      </c>
      <c r="D163" s="4" t="s">
        <v>491</v>
      </c>
      <c r="H163" s="3">
        <v>250</v>
      </c>
      <c r="I163" s="4" t="s">
        <v>513</v>
      </c>
      <c r="K163" s="3">
        <v>0</v>
      </c>
      <c r="M163" s="3">
        <v>0</v>
      </c>
      <c r="P163" s="4" t="s">
        <v>36</v>
      </c>
      <c r="S163" s="4" t="s">
        <v>514</v>
      </c>
    </row>
    <row r="164" spans="1:19">
      <c r="A164" s="3" t="s">
        <v>9</v>
      </c>
      <c r="B164" s="3" t="s">
        <v>515</v>
      </c>
      <c r="D164" s="3" t="s">
        <v>491</v>
      </c>
      <c r="H164" s="3">
        <v>500</v>
      </c>
      <c r="I164" s="3" t="s">
        <v>516</v>
      </c>
      <c r="K164" s="3">
        <v>0</v>
      </c>
      <c r="M164" s="3">
        <v>0</v>
      </c>
      <c r="P164" s="3" t="s">
        <v>36</v>
      </c>
      <c r="S164" s="3" t="s">
        <v>517</v>
      </c>
    </row>
    <row r="165" spans="1:19">
      <c r="A165" s="4" t="s">
        <v>9</v>
      </c>
      <c r="B165" s="4" t="s">
        <v>518</v>
      </c>
      <c r="D165" s="4" t="s">
        <v>491</v>
      </c>
      <c r="H165" s="3">
        <v>2000</v>
      </c>
      <c r="I165" s="4" t="s">
        <v>519</v>
      </c>
      <c r="K165" s="3">
        <v>0</v>
      </c>
      <c r="M165" s="3">
        <v>0</v>
      </c>
      <c r="P165" s="4" t="s">
        <v>36</v>
      </c>
      <c r="S165" s="4" t="s">
        <v>520</v>
      </c>
    </row>
    <row r="166" spans="1:19">
      <c r="A166" s="3" t="s">
        <v>9</v>
      </c>
      <c r="B166" s="3" t="s">
        <v>521</v>
      </c>
      <c r="D166" s="3" t="s">
        <v>491</v>
      </c>
      <c r="H166" s="3">
        <v>4000</v>
      </c>
      <c r="I166" s="3" t="s">
        <v>522</v>
      </c>
      <c r="K166" s="3">
        <v>0</v>
      </c>
      <c r="M166" s="3">
        <v>0</v>
      </c>
      <c r="P166" s="3" t="s">
        <v>36</v>
      </c>
      <c r="S166" s="3" t="s">
        <v>523</v>
      </c>
    </row>
    <row r="167" spans="1:19">
      <c r="A167" s="4" t="s">
        <v>10</v>
      </c>
      <c r="B167" s="4" t="s">
        <v>524</v>
      </c>
      <c r="D167" s="4" t="s">
        <v>525</v>
      </c>
      <c r="H167" s="3">
        <v>2000</v>
      </c>
      <c r="I167" s="4" t="s">
        <v>526</v>
      </c>
      <c r="K167" s="3">
        <v>0</v>
      </c>
      <c r="M167" s="3">
        <v>0</v>
      </c>
      <c r="P167" s="4" t="s">
        <v>36</v>
      </c>
      <c r="S167" s="4" t="s">
        <v>527</v>
      </c>
    </row>
    <row r="168" spans="1:19">
      <c r="A168" s="3" t="s">
        <v>10</v>
      </c>
      <c r="B168" s="3" t="s">
        <v>528</v>
      </c>
      <c r="D168" s="3" t="s">
        <v>525</v>
      </c>
      <c r="H168" s="3">
        <v>1000</v>
      </c>
      <c r="I168" s="3" t="s">
        <v>529</v>
      </c>
      <c r="K168" s="3">
        <v>0</v>
      </c>
      <c r="M168" s="3">
        <v>0</v>
      </c>
      <c r="P168" s="3" t="s">
        <v>36</v>
      </c>
      <c r="S168" s="3" t="s">
        <v>530</v>
      </c>
    </row>
    <row r="169" spans="1:19">
      <c r="A169" s="4" t="s">
        <v>10</v>
      </c>
      <c r="B169" s="4" t="s">
        <v>531</v>
      </c>
      <c r="D169" s="4" t="s">
        <v>525</v>
      </c>
      <c r="H169" s="3">
        <v>1000</v>
      </c>
      <c r="I169" s="4" t="s">
        <v>532</v>
      </c>
      <c r="K169" s="3">
        <v>0</v>
      </c>
      <c r="M169" s="3">
        <v>0</v>
      </c>
      <c r="P169" s="4" t="s">
        <v>36</v>
      </c>
      <c r="S169" s="4" t="s">
        <v>533</v>
      </c>
    </row>
    <row r="170" spans="1:19">
      <c r="A170" s="3" t="s">
        <v>10</v>
      </c>
      <c r="B170" s="3" t="s">
        <v>534</v>
      </c>
      <c r="D170" s="3" t="s">
        <v>525</v>
      </c>
      <c r="H170" s="3">
        <v>500</v>
      </c>
      <c r="I170" s="3" t="s">
        <v>535</v>
      </c>
      <c r="K170" s="3">
        <v>0</v>
      </c>
      <c r="M170" s="3">
        <v>0</v>
      </c>
      <c r="P170" s="3" t="s">
        <v>36</v>
      </c>
      <c r="S170" s="3" t="s">
        <v>536</v>
      </c>
    </row>
    <row r="171" spans="1:19">
      <c r="A171" s="4" t="s">
        <v>10</v>
      </c>
      <c r="B171" s="4" t="s">
        <v>537</v>
      </c>
      <c r="D171" s="4" t="s">
        <v>525</v>
      </c>
      <c r="H171" s="3">
        <v>1000</v>
      </c>
      <c r="I171" s="4" t="s">
        <v>538</v>
      </c>
      <c r="K171" s="3">
        <v>0</v>
      </c>
      <c r="M171" s="3">
        <v>0</v>
      </c>
      <c r="P171" s="4" t="s">
        <v>36</v>
      </c>
      <c r="S171" s="4" t="s">
        <v>539</v>
      </c>
    </row>
    <row r="172" spans="1:19">
      <c r="A172" s="3" t="s">
        <v>10</v>
      </c>
      <c r="B172" s="3" t="s">
        <v>540</v>
      </c>
      <c r="D172" s="3" t="s">
        <v>525</v>
      </c>
      <c r="H172" s="3">
        <v>2000</v>
      </c>
      <c r="I172" s="3" t="s">
        <v>541</v>
      </c>
      <c r="K172" s="3">
        <v>0</v>
      </c>
      <c r="M172" s="3">
        <v>0</v>
      </c>
      <c r="P172" s="3" t="s">
        <v>36</v>
      </c>
      <c r="S172" s="3" t="s">
        <v>542</v>
      </c>
    </row>
    <row r="173" spans="1:19">
      <c r="A173" s="4" t="s">
        <v>10</v>
      </c>
      <c r="B173" s="4" t="s">
        <v>543</v>
      </c>
      <c r="D173" s="4" t="s">
        <v>525</v>
      </c>
      <c r="H173" s="3">
        <v>1000</v>
      </c>
      <c r="I173" s="4" t="s">
        <v>544</v>
      </c>
      <c r="K173" s="3">
        <v>0</v>
      </c>
      <c r="M173" s="3">
        <v>0</v>
      </c>
      <c r="P173" s="4" t="s">
        <v>36</v>
      </c>
      <c r="S173" s="4" t="s">
        <v>545</v>
      </c>
    </row>
    <row r="174" spans="1:19">
      <c r="A174" s="3" t="s">
        <v>10</v>
      </c>
      <c r="B174" s="3" t="s">
        <v>546</v>
      </c>
      <c r="D174" s="3" t="s">
        <v>525</v>
      </c>
      <c r="H174" s="3">
        <v>500</v>
      </c>
      <c r="I174" s="3" t="s">
        <v>547</v>
      </c>
      <c r="K174" s="3">
        <v>0</v>
      </c>
      <c r="M174" s="3">
        <v>0</v>
      </c>
      <c r="P174" s="3" t="s">
        <v>36</v>
      </c>
      <c r="S174" s="3" t="s">
        <v>548</v>
      </c>
    </row>
    <row r="175" spans="1:19">
      <c r="A175" s="4" t="s">
        <v>10</v>
      </c>
      <c r="B175" s="4" t="s">
        <v>549</v>
      </c>
      <c r="D175" s="4" t="s">
        <v>525</v>
      </c>
      <c r="H175" s="3">
        <v>1000</v>
      </c>
      <c r="I175" s="4" t="s">
        <v>550</v>
      </c>
      <c r="K175" s="3">
        <v>0</v>
      </c>
      <c r="M175" s="3">
        <v>0</v>
      </c>
      <c r="P175" s="4" t="s">
        <v>36</v>
      </c>
      <c r="S175" s="4" t="s">
        <v>551</v>
      </c>
    </row>
    <row r="176" spans="1:19">
      <c r="A176" s="3" t="s">
        <v>10</v>
      </c>
      <c r="B176" s="3" t="s">
        <v>552</v>
      </c>
      <c r="D176" s="3" t="s">
        <v>525</v>
      </c>
      <c r="H176" s="3">
        <v>1000</v>
      </c>
      <c r="I176" s="3" t="s">
        <v>553</v>
      </c>
      <c r="K176" s="3">
        <v>0</v>
      </c>
      <c r="M176" s="3">
        <v>0</v>
      </c>
      <c r="P176" s="3" t="s">
        <v>36</v>
      </c>
      <c r="S176" s="3" t="s">
        <v>554</v>
      </c>
    </row>
    <row r="177" spans="1:19">
      <c r="A177" s="4" t="s">
        <v>10</v>
      </c>
      <c r="B177" s="4" t="s">
        <v>555</v>
      </c>
      <c r="D177" s="4" t="s">
        <v>525</v>
      </c>
      <c r="H177" s="3">
        <v>1000</v>
      </c>
      <c r="I177" s="4" t="s">
        <v>556</v>
      </c>
      <c r="K177" s="3">
        <v>0</v>
      </c>
      <c r="M177" s="3">
        <v>0</v>
      </c>
      <c r="P177" s="4" t="s">
        <v>36</v>
      </c>
      <c r="S177" s="4" t="s">
        <v>557</v>
      </c>
    </row>
    <row r="178" spans="1:19">
      <c r="A178" s="3" t="s">
        <v>10</v>
      </c>
      <c r="B178" s="3" t="s">
        <v>558</v>
      </c>
      <c r="D178" s="3" t="s">
        <v>525</v>
      </c>
      <c r="H178" s="3">
        <v>1000</v>
      </c>
      <c r="I178" s="3" t="s">
        <v>559</v>
      </c>
      <c r="K178" s="3">
        <v>0</v>
      </c>
      <c r="M178" s="3">
        <v>0</v>
      </c>
      <c r="P178" s="3" t="s">
        <v>36</v>
      </c>
      <c r="S178" s="3" t="s">
        <v>560</v>
      </c>
    </row>
    <row r="179" spans="1:19">
      <c r="A179" s="4" t="s">
        <v>10</v>
      </c>
      <c r="B179" s="4" t="s">
        <v>561</v>
      </c>
      <c r="D179" s="4" t="s">
        <v>525</v>
      </c>
      <c r="H179" s="3">
        <v>2000</v>
      </c>
      <c r="I179" s="4" t="s">
        <v>562</v>
      </c>
      <c r="K179" s="3">
        <v>0</v>
      </c>
      <c r="M179" s="3">
        <v>0</v>
      </c>
      <c r="P179" s="4" t="s">
        <v>36</v>
      </c>
      <c r="S179" s="4" t="s">
        <v>563</v>
      </c>
    </row>
    <row r="180" spans="1:19">
      <c r="A180" s="3" t="s">
        <v>11</v>
      </c>
      <c r="B180" s="3" t="s">
        <v>564</v>
      </c>
      <c r="H180" s="3">
        <v>900</v>
      </c>
      <c r="I180" s="3" t="s">
        <v>565</v>
      </c>
      <c r="K180" s="3">
        <v>0</v>
      </c>
      <c r="M180" s="3">
        <v>0</v>
      </c>
      <c r="P180" s="3" t="s">
        <v>36</v>
      </c>
      <c r="S180" s="3" t="s">
        <v>566</v>
      </c>
    </row>
    <row r="181" spans="1:19">
      <c r="A181" s="4" t="s">
        <v>11</v>
      </c>
      <c r="B181" s="4" t="s">
        <v>567</v>
      </c>
      <c r="H181" s="3">
        <v>2000</v>
      </c>
      <c r="I181" s="4" t="s">
        <v>568</v>
      </c>
      <c r="K181" s="3">
        <v>0</v>
      </c>
      <c r="M181" s="3">
        <v>0</v>
      </c>
      <c r="P181" s="4" t="s">
        <v>36</v>
      </c>
      <c r="S181" s="4" t="s">
        <v>569</v>
      </c>
    </row>
    <row r="182" spans="1:19">
      <c r="A182" s="3" t="s">
        <v>11</v>
      </c>
      <c r="B182" s="3" t="s">
        <v>570</v>
      </c>
      <c r="H182" s="3">
        <v>1200</v>
      </c>
      <c r="I182" s="3" t="s">
        <v>571</v>
      </c>
      <c r="K182" s="3">
        <v>0</v>
      </c>
      <c r="M182" s="3">
        <v>0</v>
      </c>
      <c r="P182" s="3" t="s">
        <v>36</v>
      </c>
      <c r="S182" s="3" t="s">
        <v>572</v>
      </c>
    </row>
    <row r="183" spans="1:19">
      <c r="A183" s="4" t="s">
        <v>11</v>
      </c>
      <c r="B183" s="4" t="s">
        <v>573</v>
      </c>
      <c r="H183" s="3">
        <v>8000</v>
      </c>
      <c r="I183" s="4" t="s">
        <v>574</v>
      </c>
      <c r="K183" s="3">
        <v>0</v>
      </c>
      <c r="M183" s="3">
        <v>0</v>
      </c>
      <c r="P183" s="4" t="s">
        <v>36</v>
      </c>
      <c r="S183" s="4" t="s">
        <v>575</v>
      </c>
    </row>
    <row r="184" spans="1:19">
      <c r="A184" s="3" t="s">
        <v>11</v>
      </c>
      <c r="B184" s="3" t="s">
        <v>576</v>
      </c>
      <c r="H184" s="3">
        <v>4000</v>
      </c>
      <c r="I184" s="3" t="s">
        <v>577</v>
      </c>
      <c r="K184" s="3">
        <v>0</v>
      </c>
      <c r="M184" s="3">
        <v>0</v>
      </c>
      <c r="P184" s="3" t="s">
        <v>36</v>
      </c>
      <c r="S184" s="3" t="s">
        <v>578</v>
      </c>
    </row>
    <row r="185" spans="1:19">
      <c r="A185" s="4" t="s">
        <v>11</v>
      </c>
      <c r="B185" s="4" t="s">
        <v>579</v>
      </c>
      <c r="H185" s="3">
        <v>1000</v>
      </c>
      <c r="I185" s="4" t="s">
        <v>580</v>
      </c>
      <c r="K185" s="3">
        <v>0</v>
      </c>
      <c r="M185" s="3">
        <v>0</v>
      </c>
      <c r="P185" s="4" t="s">
        <v>36</v>
      </c>
      <c r="S185" s="4" t="s">
        <v>581</v>
      </c>
    </row>
    <row r="186" spans="1:19">
      <c r="A186" s="3" t="s">
        <v>11</v>
      </c>
      <c r="B186" s="3" t="s">
        <v>582</v>
      </c>
      <c r="H186" s="3">
        <v>10000</v>
      </c>
      <c r="I186" s="3" t="s">
        <v>583</v>
      </c>
      <c r="K186" s="3">
        <v>0</v>
      </c>
      <c r="M186" s="3">
        <v>0</v>
      </c>
      <c r="P186" s="3" t="s">
        <v>36</v>
      </c>
      <c r="S186" s="3" t="s">
        <v>584</v>
      </c>
    </row>
    <row r="187" spans="1:19">
      <c r="A187" s="4" t="s">
        <v>11</v>
      </c>
      <c r="B187" s="4" t="s">
        <v>585</v>
      </c>
      <c r="H187" s="3">
        <v>6000</v>
      </c>
      <c r="I187" s="4" t="s">
        <v>586</v>
      </c>
      <c r="K187" s="3">
        <v>0</v>
      </c>
      <c r="M187" s="3">
        <v>0</v>
      </c>
      <c r="P187" s="4" t="s">
        <v>36</v>
      </c>
      <c r="S187" s="4" t="s">
        <v>587</v>
      </c>
    </row>
  </sheetData>
  <autoFilter ref="A1:S187"/>
  <hyperlinks>
    <hyperlink ref="R32" r:id="rId1"/>
    <hyperlink ref="Q48" r:id="rId2"/>
    <hyperlink ref="R48" r:id="rId3"/>
    <hyperlink ref="Q49" r:id="rId4"/>
    <hyperlink ref="Q50" r:id="rId5"/>
    <hyperlink ref="Q51" r:id="rId6"/>
    <hyperlink ref="Q52" r:id="rId7"/>
    <hyperlink ref="R52" r:id="rId8"/>
    <hyperlink ref="Q53" r:id="rId9"/>
    <hyperlink ref="R82" r:id="rId1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4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34</v>
      </c>
      <c r="G2" s="3">
        <v>8</v>
      </c>
      <c r="H2" s="3" t="s">
        <v>35</v>
      </c>
      <c r="J2" s="3">
        <v>0</v>
      </c>
      <c r="L2" s="3">
        <v>0</v>
      </c>
      <c r="O2" s="3" t="s">
        <v>36</v>
      </c>
      <c r="R2" s="3" t="s">
        <v>37</v>
      </c>
    </row>
    <row r="3" spans="1:18">
      <c r="A3" s="4" t="s">
        <v>38</v>
      </c>
      <c r="G3" s="3">
        <v>8</v>
      </c>
      <c r="H3" s="4" t="s">
        <v>35</v>
      </c>
      <c r="J3" s="3">
        <v>0</v>
      </c>
      <c r="L3" s="3">
        <v>0</v>
      </c>
      <c r="O3" s="4" t="s">
        <v>36</v>
      </c>
      <c r="R3" s="4" t="s">
        <v>39</v>
      </c>
    </row>
    <row r="4" spans="1:18">
      <c r="A4" s="3" t="s">
        <v>40</v>
      </c>
      <c r="G4" s="3">
        <v>8</v>
      </c>
      <c r="H4" s="3" t="s">
        <v>41</v>
      </c>
      <c r="J4" s="3">
        <v>0</v>
      </c>
      <c r="L4" s="3">
        <v>0</v>
      </c>
      <c r="O4" s="3" t="s">
        <v>36</v>
      </c>
      <c r="R4" s="3" t="s">
        <v>42</v>
      </c>
    </row>
    <row r="5" spans="1:18">
      <c r="A5" s="4" t="s">
        <v>43</v>
      </c>
      <c r="G5" s="3">
        <v>8</v>
      </c>
      <c r="H5" s="4" t="s">
        <v>44</v>
      </c>
      <c r="J5" s="3">
        <v>0</v>
      </c>
      <c r="L5" s="3">
        <v>0</v>
      </c>
      <c r="O5" s="4" t="s">
        <v>36</v>
      </c>
      <c r="R5" s="4" t="s">
        <v>45</v>
      </c>
    </row>
    <row r="6" spans="1:18">
      <c r="A6" s="3" t="s">
        <v>46</v>
      </c>
      <c r="G6" s="3">
        <v>8</v>
      </c>
      <c r="H6" s="3" t="s">
        <v>44</v>
      </c>
      <c r="J6" s="3">
        <v>0</v>
      </c>
      <c r="L6" s="3">
        <v>0</v>
      </c>
      <c r="O6" s="3" t="s">
        <v>36</v>
      </c>
      <c r="R6" s="3" t="s">
        <v>47</v>
      </c>
    </row>
    <row r="7" spans="1:18">
      <c r="A7" s="4" t="s">
        <v>48</v>
      </c>
      <c r="G7" s="3">
        <v>8</v>
      </c>
      <c r="H7" s="4" t="s">
        <v>44</v>
      </c>
      <c r="J7" s="3">
        <v>0</v>
      </c>
      <c r="L7" s="3">
        <v>0</v>
      </c>
      <c r="O7" s="4" t="s">
        <v>36</v>
      </c>
      <c r="R7" s="4" t="s">
        <v>49</v>
      </c>
    </row>
    <row r="8" spans="1:18">
      <c r="A8" s="3" t="s">
        <v>50</v>
      </c>
      <c r="G8" s="3">
        <v>10</v>
      </c>
      <c r="H8" s="3" t="s">
        <v>51</v>
      </c>
      <c r="J8" s="3">
        <v>0</v>
      </c>
      <c r="L8" s="3">
        <v>0</v>
      </c>
      <c r="O8" s="3" t="s">
        <v>36</v>
      </c>
      <c r="R8" s="3" t="s">
        <v>52</v>
      </c>
    </row>
    <row r="9" spans="1:18">
      <c r="A9" s="4" t="s">
        <v>53</v>
      </c>
      <c r="G9" s="3">
        <v>12</v>
      </c>
      <c r="H9" s="4" t="s">
        <v>54</v>
      </c>
      <c r="J9" s="3">
        <v>0</v>
      </c>
      <c r="L9" s="3">
        <v>0</v>
      </c>
      <c r="O9" s="4" t="s">
        <v>36</v>
      </c>
      <c r="R9" s="4" t="s">
        <v>55</v>
      </c>
    </row>
    <row r="10" spans="1:18">
      <c r="A10" s="3" t="s">
        <v>56</v>
      </c>
      <c r="G10" s="3">
        <v>12</v>
      </c>
      <c r="H10" s="3" t="s">
        <v>54</v>
      </c>
      <c r="J10" s="3">
        <v>0</v>
      </c>
      <c r="L10" s="3">
        <v>0</v>
      </c>
      <c r="O10" s="3" t="s">
        <v>36</v>
      </c>
      <c r="R10" s="3" t="s">
        <v>57</v>
      </c>
    </row>
    <row r="11" spans="1:18">
      <c r="A11" s="4" t="s">
        <v>58</v>
      </c>
      <c r="G11" s="3">
        <v>16</v>
      </c>
      <c r="H11" s="4" t="s">
        <v>59</v>
      </c>
      <c r="J11" s="3">
        <v>0</v>
      </c>
      <c r="L11" s="3">
        <v>0</v>
      </c>
      <c r="O11" s="4" t="s">
        <v>36</v>
      </c>
      <c r="R11" s="4" t="s">
        <v>60</v>
      </c>
    </row>
    <row r="12" spans="1:18">
      <c r="A12" s="3" t="s">
        <v>61</v>
      </c>
      <c r="G12" s="3">
        <v>16</v>
      </c>
      <c r="H12" s="3" t="s">
        <v>59</v>
      </c>
      <c r="J12" s="3">
        <v>0</v>
      </c>
      <c r="L12" s="3">
        <v>0</v>
      </c>
      <c r="O12" s="3" t="s">
        <v>36</v>
      </c>
      <c r="R12" s="3" t="s">
        <v>62</v>
      </c>
    </row>
    <row r="13" spans="1:18">
      <c r="A13" s="4" t="s">
        <v>63</v>
      </c>
      <c r="G13" s="3">
        <v>16</v>
      </c>
      <c r="H13" s="4" t="s">
        <v>59</v>
      </c>
      <c r="J13" s="3">
        <v>0</v>
      </c>
      <c r="L13" s="3">
        <v>0</v>
      </c>
      <c r="O13" s="4" t="s">
        <v>36</v>
      </c>
      <c r="R13" s="4" t="s">
        <v>64</v>
      </c>
    </row>
    <row r="14" spans="1:18">
      <c r="A14" s="3" t="s">
        <v>65</v>
      </c>
      <c r="G14" s="3">
        <v>16</v>
      </c>
      <c r="H14" s="3" t="s">
        <v>59</v>
      </c>
      <c r="J14" s="3">
        <v>0</v>
      </c>
      <c r="L14" s="3">
        <v>0</v>
      </c>
      <c r="O14" s="3" t="s">
        <v>36</v>
      </c>
      <c r="R14" s="3" t="s">
        <v>66</v>
      </c>
    </row>
    <row r="15" spans="1:18">
      <c r="A15" s="4" t="s">
        <v>67</v>
      </c>
      <c r="G15" s="3">
        <v>8</v>
      </c>
      <c r="H15" s="4" t="s">
        <v>44</v>
      </c>
      <c r="J15" s="3">
        <v>0</v>
      </c>
      <c r="L15" s="3">
        <v>0</v>
      </c>
      <c r="O15" s="4" t="s">
        <v>36</v>
      </c>
      <c r="R15" s="4" t="s">
        <v>68</v>
      </c>
    </row>
    <row r="16" spans="1:18">
      <c r="A16" s="3" t="s">
        <v>69</v>
      </c>
      <c r="G16" s="3">
        <v>16</v>
      </c>
      <c r="H16" s="3" t="s">
        <v>70</v>
      </c>
      <c r="J16" s="3">
        <v>0</v>
      </c>
      <c r="L16" s="3">
        <v>0</v>
      </c>
      <c r="O16" s="3" t="s">
        <v>36</v>
      </c>
      <c r="R16" s="3" t="s">
        <v>71</v>
      </c>
    </row>
    <row r="17" spans="1:18">
      <c r="A17" s="4" t="s">
        <v>72</v>
      </c>
      <c r="G17" s="3">
        <v>12</v>
      </c>
      <c r="H17" s="4" t="s">
        <v>54</v>
      </c>
      <c r="J17" s="3">
        <v>0</v>
      </c>
      <c r="L17" s="3">
        <v>0</v>
      </c>
      <c r="O17" s="4" t="s">
        <v>36</v>
      </c>
      <c r="R17" s="4" t="s">
        <v>73</v>
      </c>
    </row>
    <row r="18" spans="1:18">
      <c r="A18" s="3" t="s">
        <v>74</v>
      </c>
      <c r="G18" s="3">
        <v>16</v>
      </c>
      <c r="H18" s="3" t="s">
        <v>59</v>
      </c>
      <c r="J18" s="3">
        <v>0</v>
      </c>
      <c r="L18" s="3">
        <v>0</v>
      </c>
      <c r="O18" s="3" t="s">
        <v>36</v>
      </c>
      <c r="R18" s="3" t="s">
        <v>75</v>
      </c>
    </row>
    <row r="19" spans="1:18">
      <c r="A19" s="4" t="s">
        <v>76</v>
      </c>
      <c r="G19" s="3">
        <v>16</v>
      </c>
      <c r="H19" s="4" t="s">
        <v>59</v>
      </c>
      <c r="J19" s="3">
        <v>0</v>
      </c>
      <c r="L19" s="3">
        <v>0</v>
      </c>
      <c r="O19" s="4" t="s">
        <v>36</v>
      </c>
      <c r="R19" s="4" t="s">
        <v>77</v>
      </c>
    </row>
    <row r="20" spans="1:18">
      <c r="A20" s="3" t="s">
        <v>78</v>
      </c>
      <c r="G20" s="3">
        <v>20</v>
      </c>
      <c r="H20" s="3" t="s">
        <v>79</v>
      </c>
      <c r="J20" s="3">
        <v>0</v>
      </c>
      <c r="L20" s="3">
        <v>0</v>
      </c>
      <c r="O20" s="3" t="s">
        <v>36</v>
      </c>
      <c r="R20" s="3" t="s">
        <v>80</v>
      </c>
    </row>
    <row r="21" spans="1:18">
      <c r="A21" s="4" t="s">
        <v>81</v>
      </c>
      <c r="G21" s="3">
        <v>24</v>
      </c>
      <c r="H21" s="4" t="s">
        <v>82</v>
      </c>
      <c r="J21" s="3">
        <v>0</v>
      </c>
      <c r="L21" s="3">
        <v>0</v>
      </c>
      <c r="O21" s="4" t="s">
        <v>36</v>
      </c>
      <c r="R21" s="4" t="s">
        <v>83</v>
      </c>
    </row>
    <row r="22" spans="1:18">
      <c r="A22" s="3" t="s">
        <v>84</v>
      </c>
      <c r="G22" s="3">
        <v>16</v>
      </c>
      <c r="H22" s="3" t="s">
        <v>70</v>
      </c>
      <c r="J22" s="3">
        <v>0</v>
      </c>
      <c r="L22" s="3">
        <v>0</v>
      </c>
      <c r="O22" s="3" t="s">
        <v>36</v>
      </c>
      <c r="R22" s="3" t="s">
        <v>85</v>
      </c>
    </row>
    <row r="23" spans="1:18">
      <c r="A23" s="4" t="s">
        <v>86</v>
      </c>
      <c r="G23" s="3">
        <v>16</v>
      </c>
      <c r="H23" s="4" t="s">
        <v>59</v>
      </c>
      <c r="J23" s="3">
        <v>0</v>
      </c>
      <c r="L23" s="3">
        <v>0</v>
      </c>
      <c r="O23" s="4" t="s">
        <v>36</v>
      </c>
      <c r="R23" s="4" t="s">
        <v>87</v>
      </c>
    </row>
    <row r="24" spans="1:18">
      <c r="A24" s="3" t="s">
        <v>88</v>
      </c>
      <c r="G24" s="3">
        <v>16</v>
      </c>
      <c r="H24" s="3" t="s">
        <v>59</v>
      </c>
      <c r="J24" s="3">
        <v>0</v>
      </c>
      <c r="L24" s="3">
        <v>0</v>
      </c>
      <c r="O24" s="3" t="s">
        <v>36</v>
      </c>
      <c r="R24" s="3" t="s">
        <v>89</v>
      </c>
    </row>
    <row r="25" spans="1:18">
      <c r="A25" s="4" t="s">
        <v>90</v>
      </c>
      <c r="G25" s="3">
        <v>11</v>
      </c>
      <c r="H25" s="4" t="s">
        <v>91</v>
      </c>
      <c r="J25" s="3">
        <v>0</v>
      </c>
      <c r="L25" s="3">
        <v>0</v>
      </c>
      <c r="O25" s="4" t="s">
        <v>36</v>
      </c>
      <c r="P25" s="3" t="s">
        <v>92</v>
      </c>
      <c r="R25" s="4" t="s">
        <v>93</v>
      </c>
    </row>
    <row r="26" spans="1:18">
      <c r="A26" s="3" t="s">
        <v>94</v>
      </c>
      <c r="G26" s="3">
        <v>8</v>
      </c>
      <c r="H26" s="3" t="s">
        <v>35</v>
      </c>
      <c r="J26" s="3">
        <v>0</v>
      </c>
      <c r="L26" s="3">
        <v>0</v>
      </c>
      <c r="O26" s="3" t="s">
        <v>36</v>
      </c>
      <c r="R26" s="3" t="s">
        <v>95</v>
      </c>
    </row>
    <row r="27" spans="1:18">
      <c r="A27" s="4" t="s">
        <v>96</v>
      </c>
      <c r="G27" s="3">
        <v>8</v>
      </c>
      <c r="H27" s="4" t="s">
        <v>35</v>
      </c>
      <c r="J27" s="3">
        <v>0</v>
      </c>
      <c r="L27" s="3">
        <v>0</v>
      </c>
      <c r="O27" s="4" t="s">
        <v>36</v>
      </c>
      <c r="R27" s="4" t="s">
        <v>97</v>
      </c>
    </row>
    <row r="28" spans="1:18">
      <c r="A28" s="3" t="s">
        <v>98</v>
      </c>
      <c r="G28" s="3">
        <v>8</v>
      </c>
      <c r="H28" s="3" t="s">
        <v>35</v>
      </c>
      <c r="J28" s="3">
        <v>0</v>
      </c>
      <c r="L28" s="3">
        <v>0</v>
      </c>
      <c r="O28" s="3" t="s">
        <v>36</v>
      </c>
      <c r="R28" s="3" t="s">
        <v>99</v>
      </c>
    </row>
    <row r="29" spans="1:18">
      <c r="A29" s="4" t="s">
        <v>100</v>
      </c>
      <c r="G29" s="3">
        <v>8</v>
      </c>
      <c r="H29" s="4" t="s">
        <v>35</v>
      </c>
      <c r="J29" s="3">
        <v>0</v>
      </c>
      <c r="L29" s="3">
        <v>0</v>
      </c>
      <c r="O29" s="4" t="s">
        <v>36</v>
      </c>
      <c r="R29" s="4" t="s">
        <v>101</v>
      </c>
    </row>
    <row r="30" spans="1:18">
      <c r="A30" s="3" t="s">
        <v>102</v>
      </c>
      <c r="G30" s="3">
        <v>8</v>
      </c>
      <c r="H30" s="3" t="s">
        <v>35</v>
      </c>
      <c r="J30" s="3">
        <v>0</v>
      </c>
      <c r="L30" s="3">
        <v>0</v>
      </c>
      <c r="O30" s="3" t="s">
        <v>36</v>
      </c>
      <c r="R30" s="3" t="s">
        <v>103</v>
      </c>
    </row>
    <row r="31" spans="1:18">
      <c r="A31" s="4" t="s">
        <v>104</v>
      </c>
      <c r="G31" s="3">
        <v>11</v>
      </c>
      <c r="H31" s="4" t="s">
        <v>91</v>
      </c>
      <c r="J31" s="3">
        <v>0</v>
      </c>
      <c r="L31" s="3">
        <v>0</v>
      </c>
      <c r="O31" s="4" t="s">
        <v>36</v>
      </c>
      <c r="R31" s="4" t="s">
        <v>105</v>
      </c>
    </row>
    <row r="32" spans="1:18">
      <c r="A32" s="3" t="s">
        <v>106</v>
      </c>
      <c r="G32" s="3">
        <v>12</v>
      </c>
      <c r="H32" s="3" t="s">
        <v>107</v>
      </c>
      <c r="J32" s="3">
        <v>0</v>
      </c>
      <c r="L32" s="3">
        <v>0</v>
      </c>
      <c r="O32" s="3" t="s">
        <v>36</v>
      </c>
      <c r="Q32" s="3" t="s">
        <v>108</v>
      </c>
      <c r="R32" s="3" t="s">
        <v>109</v>
      </c>
    </row>
    <row r="33" spans="1:18">
      <c r="A33" s="4" t="s">
        <v>110</v>
      </c>
      <c r="G33" s="3">
        <v>8</v>
      </c>
      <c r="H33" s="4" t="s">
        <v>35</v>
      </c>
      <c r="J33" s="3">
        <v>0</v>
      </c>
      <c r="L33" s="3">
        <v>0</v>
      </c>
      <c r="O33" s="4" t="s">
        <v>36</v>
      </c>
      <c r="R33" s="4" t="s">
        <v>111</v>
      </c>
    </row>
    <row r="34" spans="1:18">
      <c r="A34" s="3" t="s">
        <v>112</v>
      </c>
      <c r="G34" s="3">
        <v>8</v>
      </c>
      <c r="H34" s="3" t="s">
        <v>35</v>
      </c>
      <c r="J34" s="3">
        <v>0</v>
      </c>
      <c r="L34" s="3">
        <v>0</v>
      </c>
      <c r="O34" s="3" t="s">
        <v>36</v>
      </c>
      <c r="R34" s="3" t="s">
        <v>113</v>
      </c>
    </row>
    <row r="35" spans="1:18">
      <c r="A35" s="4" t="s">
        <v>114</v>
      </c>
      <c r="G35" s="3">
        <v>8</v>
      </c>
      <c r="H35" s="4" t="s">
        <v>115</v>
      </c>
      <c r="J35" s="3">
        <v>0</v>
      </c>
      <c r="L35" s="3">
        <v>0</v>
      </c>
      <c r="O35" s="4" t="s">
        <v>36</v>
      </c>
      <c r="R35" s="4" t="s">
        <v>116</v>
      </c>
    </row>
    <row r="36" spans="1:18">
      <c r="A36" s="3" t="s">
        <v>117</v>
      </c>
      <c r="G36" s="3">
        <v>10</v>
      </c>
      <c r="H36" s="3" t="s">
        <v>118</v>
      </c>
      <c r="J36" s="3">
        <v>0</v>
      </c>
      <c r="L36" s="3">
        <v>0</v>
      </c>
      <c r="O36" s="3" t="s">
        <v>36</v>
      </c>
      <c r="R36" s="3" t="s">
        <v>119</v>
      </c>
    </row>
    <row r="37" spans="1:18">
      <c r="A37" s="4" t="s">
        <v>120</v>
      </c>
      <c r="G37" s="3">
        <v>12</v>
      </c>
      <c r="H37" s="4" t="s">
        <v>121</v>
      </c>
      <c r="J37" s="3">
        <v>0</v>
      </c>
      <c r="L37" s="3">
        <v>0</v>
      </c>
      <c r="O37" s="4" t="s">
        <v>36</v>
      </c>
      <c r="R37" s="4" t="s">
        <v>122</v>
      </c>
    </row>
    <row r="38" spans="1:18">
      <c r="A38" s="3" t="s">
        <v>123</v>
      </c>
      <c r="G38" s="3">
        <v>24</v>
      </c>
      <c r="H38" s="3" t="s">
        <v>124</v>
      </c>
      <c r="J38" s="3">
        <v>0</v>
      </c>
      <c r="L38" s="3">
        <v>0</v>
      </c>
      <c r="O38" s="3" t="s">
        <v>36</v>
      </c>
      <c r="R38" s="3" t="s">
        <v>125</v>
      </c>
    </row>
    <row r="39" spans="1:18">
      <c r="A39" s="4" t="s">
        <v>126</v>
      </c>
      <c r="G39" s="3">
        <v>24</v>
      </c>
      <c r="H39" s="4" t="s">
        <v>124</v>
      </c>
      <c r="J39" s="3">
        <v>0</v>
      </c>
      <c r="L39" s="3">
        <v>0</v>
      </c>
      <c r="O39" s="4" t="s">
        <v>36</v>
      </c>
      <c r="R39" s="4" t="s">
        <v>127</v>
      </c>
    </row>
    <row r="40" spans="1:18">
      <c r="A40" s="3" t="s">
        <v>128</v>
      </c>
      <c r="G40" s="3">
        <v>16</v>
      </c>
      <c r="H40" s="3" t="s">
        <v>70</v>
      </c>
      <c r="J40" s="3">
        <v>0</v>
      </c>
      <c r="L40" s="3">
        <v>0</v>
      </c>
      <c r="O40" s="3" t="s">
        <v>36</v>
      </c>
      <c r="R40" s="3" t="s">
        <v>129</v>
      </c>
    </row>
    <row r="41" spans="1:18">
      <c r="A41" s="4" t="s">
        <v>130</v>
      </c>
      <c r="G41" s="3">
        <v>12</v>
      </c>
      <c r="H41" s="4" t="s">
        <v>131</v>
      </c>
      <c r="J41" s="3">
        <v>0</v>
      </c>
      <c r="L41" s="3">
        <v>0</v>
      </c>
      <c r="O41" s="4" t="s">
        <v>36</v>
      </c>
      <c r="R41" s="4" t="s">
        <v>132</v>
      </c>
    </row>
    <row r="42" spans="1:18">
      <c r="A42" s="3" t="s">
        <v>133</v>
      </c>
      <c r="G42" s="3">
        <v>12</v>
      </c>
      <c r="H42" s="3" t="s">
        <v>131</v>
      </c>
      <c r="J42" s="3">
        <v>0</v>
      </c>
      <c r="L42" s="3">
        <v>0</v>
      </c>
      <c r="O42" s="3" t="s">
        <v>36</v>
      </c>
      <c r="R42" s="3" t="s">
        <v>134</v>
      </c>
    </row>
    <row r="43" spans="1:18">
      <c r="A43" s="4" t="s">
        <v>135</v>
      </c>
      <c r="G43" s="3">
        <v>12</v>
      </c>
      <c r="H43" s="4" t="s">
        <v>131</v>
      </c>
      <c r="J43" s="3">
        <v>0</v>
      </c>
      <c r="L43" s="3">
        <v>0</v>
      </c>
      <c r="O43" s="4" t="s">
        <v>36</v>
      </c>
      <c r="R43" s="4" t="s">
        <v>136</v>
      </c>
    </row>
    <row r="44" spans="1:18">
      <c r="A44" s="3" t="s">
        <v>137</v>
      </c>
      <c r="G44" s="3">
        <v>16</v>
      </c>
      <c r="H44" s="3" t="s">
        <v>138</v>
      </c>
      <c r="J44" s="3">
        <v>0</v>
      </c>
      <c r="L44" s="3">
        <v>0</v>
      </c>
      <c r="O44" s="3" t="s">
        <v>36</v>
      </c>
      <c r="R44" s="3" t="s">
        <v>139</v>
      </c>
    </row>
    <row r="45" spans="1:18">
      <c r="A45" s="4" t="s">
        <v>140</v>
      </c>
      <c r="G45" s="3">
        <v>16</v>
      </c>
      <c r="H45" s="4" t="s">
        <v>138</v>
      </c>
      <c r="J45" s="3">
        <v>0</v>
      </c>
      <c r="L45" s="3">
        <v>0</v>
      </c>
      <c r="O45" s="4" t="s">
        <v>36</v>
      </c>
      <c r="R45" s="4" t="s">
        <v>141</v>
      </c>
    </row>
    <row r="46" spans="1:18">
      <c r="A46" s="3" t="s">
        <v>142</v>
      </c>
      <c r="G46" s="3">
        <v>16</v>
      </c>
      <c r="H46" s="3" t="s">
        <v>138</v>
      </c>
      <c r="J46" s="3">
        <v>0</v>
      </c>
      <c r="L46" s="3">
        <v>0</v>
      </c>
      <c r="O46" s="3" t="s">
        <v>36</v>
      </c>
      <c r="R46" s="3" t="s">
        <v>143</v>
      </c>
    </row>
    <row r="47" spans="1:18">
      <c r="A47" s="4" t="s">
        <v>144</v>
      </c>
      <c r="G47" s="3">
        <v>24</v>
      </c>
      <c r="H47" s="4" t="s">
        <v>124</v>
      </c>
      <c r="J47" s="3">
        <v>0</v>
      </c>
      <c r="L47" s="3">
        <v>0</v>
      </c>
      <c r="O47" s="4" t="s">
        <v>36</v>
      </c>
      <c r="R47" s="4" t="s">
        <v>145</v>
      </c>
    </row>
  </sheetData>
  <autoFilter ref="A1:R47"/>
  <hyperlinks>
    <hyperlink ref="Q3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5"/>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146</v>
      </c>
      <c r="C2" s="3" t="s">
        <v>147</v>
      </c>
      <c r="D2" s="3">
        <v>6</v>
      </c>
      <c r="E2" s="3">
        <v>12</v>
      </c>
      <c r="F2" s="3" t="s">
        <v>148</v>
      </c>
      <c r="H2" s="3" t="s">
        <v>149</v>
      </c>
      <c r="J2" s="3">
        <v>0</v>
      </c>
      <c r="L2" s="3">
        <v>0</v>
      </c>
      <c r="O2" s="3" t="s">
        <v>36</v>
      </c>
      <c r="P2" s="3" t="s">
        <v>150</v>
      </c>
      <c r="Q2" s="3" t="s">
        <v>108</v>
      </c>
      <c r="R2" s="3" t="s">
        <v>151</v>
      </c>
    </row>
    <row r="3" spans="1:18">
      <c r="A3" s="4" t="s">
        <v>152</v>
      </c>
      <c r="D3" s="3">
        <v>6</v>
      </c>
      <c r="E3" s="3">
        <v>12</v>
      </c>
      <c r="F3" s="4" t="s">
        <v>148</v>
      </c>
      <c r="H3" s="4" t="s">
        <v>153</v>
      </c>
      <c r="J3" s="3">
        <v>0</v>
      </c>
      <c r="L3" s="3">
        <v>0</v>
      </c>
      <c r="O3" s="4" t="s">
        <v>36</v>
      </c>
      <c r="P3" s="3" t="s">
        <v>154</v>
      </c>
      <c r="R3" s="4" t="s">
        <v>155</v>
      </c>
    </row>
    <row r="4" spans="1:18">
      <c r="A4" s="3" t="s">
        <v>156</v>
      </c>
      <c r="D4" s="3">
        <v>6</v>
      </c>
      <c r="E4" s="3">
        <v>12</v>
      </c>
      <c r="F4" s="3" t="s">
        <v>148</v>
      </c>
      <c r="H4" s="3" t="s">
        <v>153</v>
      </c>
      <c r="J4" s="3">
        <v>0</v>
      </c>
      <c r="L4" s="3">
        <v>0</v>
      </c>
      <c r="O4" s="3" t="s">
        <v>36</v>
      </c>
      <c r="P4" s="3" t="s">
        <v>157</v>
      </c>
      <c r="R4" s="3" t="s">
        <v>158</v>
      </c>
    </row>
    <row r="5" spans="1:18">
      <c r="A5" s="4" t="s">
        <v>159</v>
      </c>
      <c r="D5" s="3">
        <v>6</v>
      </c>
      <c r="E5" s="3">
        <v>12</v>
      </c>
      <c r="F5" s="4" t="s">
        <v>148</v>
      </c>
      <c r="H5" s="4" t="s">
        <v>153</v>
      </c>
      <c r="J5" s="3">
        <v>0</v>
      </c>
      <c r="L5" s="3">
        <v>0</v>
      </c>
      <c r="O5" s="4" t="s">
        <v>36</v>
      </c>
      <c r="P5" s="3" t="s">
        <v>160</v>
      </c>
      <c r="R5" s="4" t="s">
        <v>161</v>
      </c>
    </row>
    <row r="6" spans="1:18">
      <c r="A6" s="3" t="s">
        <v>162</v>
      </c>
      <c r="C6" s="3" t="s">
        <v>147</v>
      </c>
      <c r="D6" s="3">
        <v>6</v>
      </c>
      <c r="E6" s="3">
        <v>12</v>
      </c>
      <c r="F6" s="3" t="s">
        <v>148</v>
      </c>
      <c r="H6" s="3" t="s">
        <v>163</v>
      </c>
      <c r="J6" s="3">
        <v>0</v>
      </c>
      <c r="L6" s="3">
        <v>0</v>
      </c>
      <c r="O6" s="3" t="s">
        <v>36</v>
      </c>
      <c r="P6" s="3" t="s">
        <v>160</v>
      </c>
      <c r="Q6" s="3" t="s">
        <v>108</v>
      </c>
      <c r="R6" s="3" t="s">
        <v>164</v>
      </c>
    </row>
    <row r="7" spans="1:18">
      <c r="A7" s="4" t="s">
        <v>165</v>
      </c>
      <c r="D7" s="3">
        <v>6</v>
      </c>
      <c r="E7" s="3">
        <v>12</v>
      </c>
      <c r="F7" s="4" t="s">
        <v>166</v>
      </c>
      <c r="H7" s="4" t="s">
        <v>167</v>
      </c>
      <c r="J7" s="3">
        <v>0</v>
      </c>
      <c r="L7" s="3">
        <v>0</v>
      </c>
      <c r="O7" s="4" t="s">
        <v>36</v>
      </c>
      <c r="P7" s="3" t="s">
        <v>168</v>
      </c>
      <c r="R7" s="4" t="s">
        <v>169</v>
      </c>
    </row>
    <row r="8" spans="1:18">
      <c r="A8" s="3" t="s">
        <v>170</v>
      </c>
      <c r="D8" s="3">
        <v>6</v>
      </c>
      <c r="E8" s="3">
        <v>12</v>
      </c>
      <c r="F8" s="3" t="s">
        <v>166</v>
      </c>
      <c r="H8" s="3" t="s">
        <v>167</v>
      </c>
      <c r="J8" s="3">
        <v>0</v>
      </c>
      <c r="L8" s="3">
        <v>0</v>
      </c>
      <c r="O8" s="3" t="s">
        <v>36</v>
      </c>
      <c r="R8" s="3" t="s">
        <v>171</v>
      </c>
    </row>
    <row r="9" spans="1:18">
      <c r="A9" s="4" t="s">
        <v>172</v>
      </c>
      <c r="D9" s="3">
        <v>8</v>
      </c>
      <c r="E9" s="3">
        <v>16</v>
      </c>
      <c r="F9" s="4" t="s">
        <v>148</v>
      </c>
      <c r="H9" s="4" t="s">
        <v>173</v>
      </c>
      <c r="J9" s="3">
        <v>0</v>
      </c>
      <c r="L9" s="3">
        <v>0</v>
      </c>
      <c r="O9" s="4" t="s">
        <v>174</v>
      </c>
      <c r="R9" s="4" t="s">
        <v>175</v>
      </c>
    </row>
    <row r="10" spans="1:18">
      <c r="A10" s="3" t="s">
        <v>176</v>
      </c>
      <c r="D10" s="3">
        <v>8</v>
      </c>
      <c r="E10" s="3">
        <v>16</v>
      </c>
      <c r="F10" s="3" t="s">
        <v>148</v>
      </c>
      <c r="H10" s="3" t="s">
        <v>173</v>
      </c>
      <c r="J10" s="3">
        <v>0</v>
      </c>
      <c r="L10" s="3">
        <v>0</v>
      </c>
      <c r="O10" s="3" t="s">
        <v>36</v>
      </c>
      <c r="R10" s="3" t="s">
        <v>177</v>
      </c>
    </row>
    <row r="11" spans="1:18">
      <c r="A11" s="4" t="s">
        <v>178</v>
      </c>
      <c r="D11" s="3">
        <v>8</v>
      </c>
      <c r="E11" s="3">
        <v>16</v>
      </c>
      <c r="F11" s="4" t="s">
        <v>148</v>
      </c>
      <c r="H11" s="4" t="s">
        <v>173</v>
      </c>
      <c r="J11" s="3">
        <v>0</v>
      </c>
      <c r="L11" s="3">
        <v>0</v>
      </c>
      <c r="O11" s="4" t="s">
        <v>36</v>
      </c>
      <c r="R11" s="4" t="s">
        <v>179</v>
      </c>
    </row>
    <row r="12" spans="1:18">
      <c r="A12" s="3" t="s">
        <v>180</v>
      </c>
      <c r="D12" s="3">
        <v>8</v>
      </c>
      <c r="E12" s="3">
        <v>16</v>
      </c>
      <c r="F12" s="3" t="s">
        <v>148</v>
      </c>
      <c r="H12" s="3" t="s">
        <v>173</v>
      </c>
      <c r="J12" s="3">
        <v>0</v>
      </c>
      <c r="L12" s="3">
        <v>0</v>
      </c>
      <c r="O12" s="3" t="s">
        <v>36</v>
      </c>
      <c r="R12" s="3" t="s">
        <v>181</v>
      </c>
    </row>
    <row r="13" spans="1:18">
      <c r="A13" s="4" t="s">
        <v>182</v>
      </c>
      <c r="D13" s="3">
        <v>8</v>
      </c>
      <c r="E13" s="3">
        <v>16</v>
      </c>
      <c r="F13" s="4" t="s">
        <v>148</v>
      </c>
      <c r="H13" s="4" t="s">
        <v>173</v>
      </c>
      <c r="J13" s="3">
        <v>0</v>
      </c>
      <c r="L13" s="3">
        <v>0</v>
      </c>
      <c r="O13" s="4" t="s">
        <v>36</v>
      </c>
      <c r="R13" s="4" t="s">
        <v>183</v>
      </c>
    </row>
    <row r="14" spans="1:18">
      <c r="A14" s="3" t="s">
        <v>184</v>
      </c>
      <c r="D14" s="3">
        <v>8</v>
      </c>
      <c r="E14" s="3">
        <v>16</v>
      </c>
      <c r="F14" s="3" t="s">
        <v>148</v>
      </c>
      <c r="H14" s="3" t="s">
        <v>173</v>
      </c>
      <c r="J14" s="3">
        <v>0</v>
      </c>
      <c r="L14" s="3">
        <v>0</v>
      </c>
      <c r="O14" s="3" t="s">
        <v>36</v>
      </c>
      <c r="R14" s="3" t="s">
        <v>185</v>
      </c>
    </row>
    <row r="15" spans="1:18">
      <c r="A15" s="4" t="s">
        <v>186</v>
      </c>
      <c r="D15" s="3">
        <v>8</v>
      </c>
      <c r="E15" s="3">
        <v>16</v>
      </c>
      <c r="F15" s="4" t="s">
        <v>166</v>
      </c>
      <c r="H15" s="4" t="s">
        <v>187</v>
      </c>
      <c r="J15" s="3">
        <v>0</v>
      </c>
      <c r="L15" s="3">
        <v>0</v>
      </c>
      <c r="O15" s="4" t="s">
        <v>36</v>
      </c>
      <c r="R15" s="4" t="s">
        <v>188</v>
      </c>
    </row>
    <row r="16" spans="1:18">
      <c r="A16" s="3" t="s">
        <v>189</v>
      </c>
      <c r="D16" s="3">
        <v>8</v>
      </c>
      <c r="E16" s="3">
        <v>16</v>
      </c>
      <c r="F16" s="3" t="s">
        <v>166</v>
      </c>
      <c r="H16" s="3" t="s">
        <v>187</v>
      </c>
      <c r="J16" s="3">
        <v>0</v>
      </c>
      <c r="L16" s="3">
        <v>0</v>
      </c>
      <c r="O16" s="3" t="s">
        <v>36</v>
      </c>
      <c r="R16" s="3" t="s">
        <v>190</v>
      </c>
    </row>
    <row r="17" spans="1:18">
      <c r="A17" s="4" t="s">
        <v>191</v>
      </c>
      <c r="D17" s="3">
        <v>8</v>
      </c>
      <c r="E17" s="3">
        <v>16</v>
      </c>
      <c r="F17" s="4" t="s">
        <v>166</v>
      </c>
      <c r="H17" s="4" t="s">
        <v>187</v>
      </c>
      <c r="J17" s="3">
        <v>0</v>
      </c>
      <c r="L17" s="3">
        <v>0</v>
      </c>
      <c r="O17" s="4" t="s">
        <v>36</v>
      </c>
      <c r="R17" s="4" t="s">
        <v>192</v>
      </c>
    </row>
    <row r="18" spans="1:18">
      <c r="A18" s="3" t="s">
        <v>193</v>
      </c>
      <c r="D18" s="3">
        <v>12</v>
      </c>
      <c r="E18" s="3">
        <v>24</v>
      </c>
      <c r="F18" s="3" t="s">
        <v>148</v>
      </c>
      <c r="H18" s="3" t="s">
        <v>194</v>
      </c>
      <c r="J18" s="3">
        <v>0</v>
      </c>
      <c r="L18" s="3">
        <v>0</v>
      </c>
      <c r="O18" s="3" t="s">
        <v>36</v>
      </c>
      <c r="R18" s="3" t="s">
        <v>195</v>
      </c>
    </row>
    <row r="19" spans="1:18">
      <c r="A19" s="4" t="s">
        <v>196</v>
      </c>
      <c r="D19" s="3">
        <v>16</v>
      </c>
      <c r="E19" s="3">
        <v>32</v>
      </c>
      <c r="F19" s="4" t="s">
        <v>148</v>
      </c>
      <c r="H19" s="4" t="s">
        <v>197</v>
      </c>
      <c r="J19" s="3">
        <v>0</v>
      </c>
      <c r="L19" s="3">
        <v>0</v>
      </c>
      <c r="O19" s="4" t="s">
        <v>36</v>
      </c>
      <c r="R19" s="4" t="s">
        <v>198</v>
      </c>
    </row>
    <row r="20" spans="1:18">
      <c r="A20" s="3" t="s">
        <v>199</v>
      </c>
      <c r="D20" s="3">
        <v>16</v>
      </c>
      <c r="E20" s="3">
        <v>32</v>
      </c>
      <c r="F20" s="3" t="s">
        <v>166</v>
      </c>
      <c r="H20" s="3" t="s">
        <v>200</v>
      </c>
      <c r="J20" s="3">
        <v>0</v>
      </c>
      <c r="L20" s="3">
        <v>0</v>
      </c>
      <c r="O20" s="3" t="s">
        <v>36</v>
      </c>
      <c r="R20" s="3" t="s">
        <v>201</v>
      </c>
    </row>
    <row r="21" spans="1:18">
      <c r="A21" s="4" t="s">
        <v>202</v>
      </c>
      <c r="D21" s="3">
        <v>6</v>
      </c>
      <c r="E21" s="3">
        <v>12</v>
      </c>
      <c r="F21" s="4" t="s">
        <v>203</v>
      </c>
      <c r="H21" s="4" t="s">
        <v>204</v>
      </c>
      <c r="J21" s="3">
        <v>0</v>
      </c>
      <c r="L21" s="3">
        <v>0</v>
      </c>
      <c r="O21" s="4" t="s">
        <v>36</v>
      </c>
      <c r="R21" s="4" t="s">
        <v>205</v>
      </c>
    </row>
    <row r="22" spans="1:18">
      <c r="A22" s="3" t="s">
        <v>206</v>
      </c>
      <c r="D22" s="3">
        <v>6</v>
      </c>
      <c r="E22" s="3">
        <v>12</v>
      </c>
      <c r="F22" s="3" t="s">
        <v>203</v>
      </c>
      <c r="H22" s="3" t="s">
        <v>204</v>
      </c>
      <c r="J22" s="3">
        <v>0</v>
      </c>
      <c r="L22" s="3">
        <v>0</v>
      </c>
      <c r="O22" s="3" t="s">
        <v>36</v>
      </c>
      <c r="R22" s="3" t="s">
        <v>207</v>
      </c>
    </row>
    <row r="23" spans="1:18">
      <c r="A23" s="4" t="s">
        <v>208</v>
      </c>
      <c r="D23" s="3">
        <v>6</v>
      </c>
      <c r="E23" s="3">
        <v>12</v>
      </c>
      <c r="F23" s="4" t="s">
        <v>209</v>
      </c>
      <c r="H23" s="4" t="s">
        <v>210</v>
      </c>
      <c r="J23" s="3">
        <v>0</v>
      </c>
      <c r="L23" s="3">
        <v>0</v>
      </c>
      <c r="O23" s="4" t="s">
        <v>36</v>
      </c>
      <c r="R23" s="4" t="s">
        <v>211</v>
      </c>
    </row>
    <row r="24" spans="1:18">
      <c r="A24" s="3" t="s">
        <v>212</v>
      </c>
      <c r="D24" s="3">
        <v>10</v>
      </c>
      <c r="E24" s="3">
        <v>16</v>
      </c>
      <c r="F24" s="3" t="s">
        <v>209</v>
      </c>
      <c r="H24" s="3" t="s">
        <v>213</v>
      </c>
      <c r="J24" s="3">
        <v>0</v>
      </c>
      <c r="L24" s="3">
        <v>0</v>
      </c>
      <c r="O24" s="3" t="s">
        <v>36</v>
      </c>
      <c r="R24" s="3" t="s">
        <v>214</v>
      </c>
    </row>
    <row r="25" spans="1:18">
      <c r="A25" s="4" t="s">
        <v>215</v>
      </c>
      <c r="D25" s="3">
        <v>14</v>
      </c>
      <c r="E25" s="3">
        <v>20</v>
      </c>
      <c r="F25" s="4" t="s">
        <v>209</v>
      </c>
      <c r="H25" s="4" t="s">
        <v>216</v>
      </c>
      <c r="J25" s="3">
        <v>0</v>
      </c>
      <c r="L25" s="3">
        <v>0</v>
      </c>
      <c r="O25" s="4" t="s">
        <v>36</v>
      </c>
      <c r="R25" s="4" t="s">
        <v>217</v>
      </c>
    </row>
    <row r="26" spans="1:18">
      <c r="A26" s="3" t="s">
        <v>218</v>
      </c>
      <c r="D26" s="3">
        <v>14</v>
      </c>
      <c r="E26" s="3">
        <v>20</v>
      </c>
      <c r="F26" s="3" t="s">
        <v>209</v>
      </c>
      <c r="H26" s="3" t="s">
        <v>216</v>
      </c>
      <c r="J26" s="3">
        <v>0</v>
      </c>
      <c r="L26" s="3">
        <v>0</v>
      </c>
      <c r="O26" s="3" t="s">
        <v>36</v>
      </c>
      <c r="R26" s="3" t="s">
        <v>219</v>
      </c>
    </row>
    <row r="27" spans="1:18">
      <c r="A27" s="4" t="s">
        <v>220</v>
      </c>
      <c r="D27" s="3">
        <v>8</v>
      </c>
      <c r="E27" s="3">
        <v>16</v>
      </c>
      <c r="F27" s="4" t="s">
        <v>203</v>
      </c>
      <c r="H27" s="4" t="s">
        <v>221</v>
      </c>
      <c r="J27" s="3">
        <v>0</v>
      </c>
      <c r="L27" s="3">
        <v>0</v>
      </c>
      <c r="O27" s="4" t="s">
        <v>36</v>
      </c>
      <c r="R27" s="4" t="s">
        <v>222</v>
      </c>
    </row>
    <row r="28" spans="1:18">
      <c r="A28" s="3" t="s">
        <v>223</v>
      </c>
      <c r="D28" s="3">
        <v>12</v>
      </c>
      <c r="E28" s="3">
        <v>20</v>
      </c>
      <c r="F28" s="3" t="s">
        <v>209</v>
      </c>
      <c r="H28" s="3" t="s">
        <v>224</v>
      </c>
      <c r="J28" s="3">
        <v>0</v>
      </c>
      <c r="L28" s="3">
        <v>0</v>
      </c>
      <c r="O28" s="3" t="s">
        <v>36</v>
      </c>
      <c r="R28" s="3" t="s">
        <v>225</v>
      </c>
    </row>
    <row r="29" spans="1:18">
      <c r="A29" s="4" t="s">
        <v>226</v>
      </c>
      <c r="D29" s="3">
        <v>16</v>
      </c>
      <c r="E29" s="3">
        <v>24</v>
      </c>
      <c r="F29" s="4" t="s">
        <v>209</v>
      </c>
      <c r="H29" s="4" t="s">
        <v>227</v>
      </c>
      <c r="J29" s="3">
        <v>0</v>
      </c>
      <c r="L29" s="3">
        <v>0</v>
      </c>
      <c r="O29" s="4" t="s">
        <v>36</v>
      </c>
      <c r="R29" s="4" t="s">
        <v>228</v>
      </c>
    </row>
    <row r="30" spans="1:18">
      <c r="A30" s="3" t="s">
        <v>229</v>
      </c>
      <c r="D30" s="3">
        <v>20</v>
      </c>
      <c r="E30" s="3">
        <v>28</v>
      </c>
      <c r="F30" s="3" t="s">
        <v>209</v>
      </c>
      <c r="H30" s="3" t="s">
        <v>230</v>
      </c>
      <c r="J30" s="3">
        <v>0</v>
      </c>
      <c r="L30" s="3">
        <v>0</v>
      </c>
      <c r="O30" s="3" t="s">
        <v>36</v>
      </c>
      <c r="R30" s="3" t="s">
        <v>231</v>
      </c>
    </row>
    <row r="31" spans="1:18">
      <c r="A31" s="4" t="s">
        <v>232</v>
      </c>
      <c r="D31" s="3">
        <v>4</v>
      </c>
      <c r="E31" s="3">
        <v>8</v>
      </c>
      <c r="F31" s="4" t="s">
        <v>233</v>
      </c>
      <c r="H31" s="4" t="s">
        <v>234</v>
      </c>
      <c r="J31" s="3">
        <v>0</v>
      </c>
      <c r="L31" s="3">
        <v>0</v>
      </c>
      <c r="O31" s="4" t="s">
        <v>36</v>
      </c>
      <c r="R31" s="4" t="s">
        <v>235</v>
      </c>
    </row>
    <row r="32" spans="1:18">
      <c r="A32" s="3" t="s">
        <v>236</v>
      </c>
      <c r="D32" s="3">
        <v>4</v>
      </c>
      <c r="E32" s="3">
        <v>8</v>
      </c>
      <c r="F32" s="3" t="s">
        <v>237</v>
      </c>
      <c r="H32" s="3" t="s">
        <v>238</v>
      </c>
      <c r="J32" s="3">
        <v>0</v>
      </c>
      <c r="L32" s="3">
        <v>0</v>
      </c>
      <c r="O32" s="3" t="s">
        <v>36</v>
      </c>
      <c r="R32" s="3" t="s">
        <v>239</v>
      </c>
    </row>
    <row r="33" spans="1:18">
      <c r="A33" s="4" t="s">
        <v>240</v>
      </c>
      <c r="D33" s="3">
        <v>4</v>
      </c>
      <c r="E33" s="3">
        <v>8</v>
      </c>
      <c r="F33" s="4" t="s">
        <v>237</v>
      </c>
      <c r="H33" s="4" t="s">
        <v>238</v>
      </c>
      <c r="J33" s="3">
        <v>0</v>
      </c>
      <c r="L33" s="3">
        <v>0</v>
      </c>
      <c r="O33" s="4" t="s">
        <v>36</v>
      </c>
      <c r="R33" s="4" t="s">
        <v>241</v>
      </c>
    </row>
    <row r="34" spans="1:18">
      <c r="A34" s="3" t="s">
        <v>242</v>
      </c>
      <c r="D34" s="3">
        <v>6</v>
      </c>
      <c r="E34" s="3">
        <v>12</v>
      </c>
      <c r="F34" s="3" t="s">
        <v>237</v>
      </c>
      <c r="H34" s="3" t="s">
        <v>243</v>
      </c>
      <c r="J34" s="3">
        <v>0</v>
      </c>
      <c r="L34" s="3">
        <v>0</v>
      </c>
      <c r="O34" s="3" t="s">
        <v>36</v>
      </c>
      <c r="R34" s="3" t="s">
        <v>244</v>
      </c>
    </row>
    <row r="35" spans="1:18">
      <c r="A35" s="4" t="s">
        <v>245</v>
      </c>
      <c r="D35" s="3">
        <v>8</v>
      </c>
      <c r="E35" s="3">
        <v>8</v>
      </c>
      <c r="F35" s="4" t="s">
        <v>237</v>
      </c>
      <c r="H35" s="4" t="s">
        <v>246</v>
      </c>
      <c r="J35" s="3">
        <v>0</v>
      </c>
      <c r="L35" s="3">
        <v>0</v>
      </c>
      <c r="O35" s="4" t="s">
        <v>36</v>
      </c>
      <c r="R35" s="4" t="s">
        <v>247</v>
      </c>
    </row>
  </sheetData>
  <autoFilter ref="A1:R35"/>
  <hyperlinks>
    <hyperlink ref="P2" r:id="rId1"/>
    <hyperlink ref="Q2" r:id="rId2"/>
    <hyperlink ref="P3" r:id="rId3"/>
    <hyperlink ref="P4" r:id="rId4"/>
    <hyperlink ref="P5" r:id="rId5"/>
    <hyperlink ref="P6" r:id="rId6"/>
    <hyperlink ref="Q6" r:id="rId7"/>
    <hyperlink ref="P7" r:id="rId8"/>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248</v>
      </c>
      <c r="B2" s="3" t="s">
        <v>249</v>
      </c>
      <c r="C2" s="3" t="s">
        <v>250</v>
      </c>
      <c r="F2" s="3" t="s">
        <v>148</v>
      </c>
      <c r="H2" s="3" t="s">
        <v>251</v>
      </c>
      <c r="J2" s="3">
        <v>0</v>
      </c>
      <c r="L2" s="3">
        <v>0</v>
      </c>
      <c r="O2" s="3" t="s">
        <v>36</v>
      </c>
      <c r="Q2" s="3" t="s">
        <v>108</v>
      </c>
      <c r="R2" s="3" t="s">
        <v>252</v>
      </c>
    </row>
    <row r="3" spans="1:18">
      <c r="A3" s="4" t="s">
        <v>253</v>
      </c>
      <c r="B3" s="4" t="s">
        <v>254</v>
      </c>
      <c r="C3" s="4" t="s">
        <v>255</v>
      </c>
      <c r="F3" s="4" t="s">
        <v>148</v>
      </c>
      <c r="H3" s="4" t="s">
        <v>256</v>
      </c>
      <c r="J3" s="3">
        <v>0</v>
      </c>
      <c r="L3" s="3">
        <v>0</v>
      </c>
      <c r="O3" s="4" t="s">
        <v>36</v>
      </c>
      <c r="R3" s="4" t="s">
        <v>257</v>
      </c>
    </row>
    <row r="4" spans="1:18">
      <c r="A4" s="3" t="s">
        <v>258</v>
      </c>
      <c r="B4" s="3" t="s">
        <v>249</v>
      </c>
      <c r="C4" s="3" t="s">
        <v>250</v>
      </c>
      <c r="F4" s="3" t="s">
        <v>166</v>
      </c>
      <c r="H4" s="3" t="s">
        <v>259</v>
      </c>
      <c r="J4" s="3">
        <v>0</v>
      </c>
      <c r="L4" s="3">
        <v>0</v>
      </c>
      <c r="O4" s="3" t="s">
        <v>36</v>
      </c>
      <c r="R4" s="3" t="s">
        <v>260</v>
      </c>
    </row>
    <row r="5" spans="1:18">
      <c r="A5" s="4" t="s">
        <v>261</v>
      </c>
      <c r="B5" s="4" t="s">
        <v>262</v>
      </c>
      <c r="C5" s="4" t="s">
        <v>255</v>
      </c>
      <c r="F5" s="4" t="s">
        <v>209</v>
      </c>
      <c r="H5" s="4" t="s">
        <v>263</v>
      </c>
      <c r="J5" s="3">
        <v>0</v>
      </c>
      <c r="L5" s="3">
        <v>0</v>
      </c>
      <c r="O5" s="4" t="s">
        <v>36</v>
      </c>
      <c r="R5" s="4" t="s">
        <v>264</v>
      </c>
    </row>
    <row r="6" spans="1:18">
      <c r="A6" s="3" t="s">
        <v>265</v>
      </c>
      <c r="B6" s="3" t="s">
        <v>266</v>
      </c>
      <c r="C6" s="3" t="s">
        <v>267</v>
      </c>
      <c r="F6" s="3" t="s">
        <v>148</v>
      </c>
      <c r="H6" s="3" t="s">
        <v>268</v>
      </c>
      <c r="J6" s="3">
        <v>0</v>
      </c>
      <c r="L6" s="3">
        <v>0</v>
      </c>
      <c r="O6" s="3" t="s">
        <v>36</v>
      </c>
      <c r="R6" s="3" t="s">
        <v>269</v>
      </c>
    </row>
    <row r="7" spans="1:18">
      <c r="A7" s="4" t="s">
        <v>270</v>
      </c>
      <c r="B7" s="4" t="s">
        <v>271</v>
      </c>
      <c r="C7" s="4" t="s">
        <v>267</v>
      </c>
      <c r="F7" s="4" t="s">
        <v>166</v>
      </c>
      <c r="H7" s="4" t="s">
        <v>272</v>
      </c>
      <c r="J7" s="3">
        <v>0</v>
      </c>
      <c r="L7" s="3">
        <v>0</v>
      </c>
      <c r="O7" s="4" t="s">
        <v>36</v>
      </c>
      <c r="R7" s="4" t="s">
        <v>273</v>
      </c>
    </row>
    <row r="8" spans="1:18">
      <c r="A8" s="3" t="s">
        <v>274</v>
      </c>
      <c r="B8" s="3" t="s">
        <v>254</v>
      </c>
      <c r="C8" s="3" t="s">
        <v>255</v>
      </c>
      <c r="F8" s="3" t="s">
        <v>148</v>
      </c>
      <c r="H8" s="3" t="s">
        <v>275</v>
      </c>
      <c r="J8" s="3">
        <v>0</v>
      </c>
      <c r="L8" s="3">
        <v>0</v>
      </c>
      <c r="O8" s="3" t="s">
        <v>36</v>
      </c>
      <c r="R8" s="3" t="s">
        <v>276</v>
      </c>
    </row>
    <row r="9" spans="1:18">
      <c r="A9" s="4" t="s">
        <v>277</v>
      </c>
      <c r="B9" s="4" t="s">
        <v>254</v>
      </c>
      <c r="C9" s="4" t="s">
        <v>267</v>
      </c>
      <c r="F9" s="4" t="s">
        <v>148</v>
      </c>
      <c r="H9" s="4" t="s">
        <v>278</v>
      </c>
      <c r="J9" s="3">
        <v>0</v>
      </c>
      <c r="L9" s="3">
        <v>0</v>
      </c>
      <c r="O9" s="4" t="s">
        <v>36</v>
      </c>
      <c r="R9" s="4" t="s">
        <v>279</v>
      </c>
    </row>
    <row r="10" spans="1:18">
      <c r="A10" s="3" t="s">
        <v>280</v>
      </c>
      <c r="B10" s="3" t="s">
        <v>254</v>
      </c>
      <c r="C10" s="3" t="s">
        <v>255</v>
      </c>
      <c r="F10" s="3" t="s">
        <v>209</v>
      </c>
      <c r="H10" s="3" t="s">
        <v>281</v>
      </c>
      <c r="J10" s="3">
        <v>0</v>
      </c>
      <c r="L10" s="3">
        <v>0</v>
      </c>
      <c r="O10" s="3" t="s">
        <v>36</v>
      </c>
      <c r="R10" s="3" t="s">
        <v>282</v>
      </c>
    </row>
    <row r="11" spans="1:18">
      <c r="A11" s="4" t="s">
        <v>283</v>
      </c>
      <c r="B11" s="4" t="s">
        <v>284</v>
      </c>
      <c r="C11" s="4" t="s">
        <v>267</v>
      </c>
      <c r="F11" s="4" t="s">
        <v>148</v>
      </c>
      <c r="H11" s="4" t="s">
        <v>285</v>
      </c>
      <c r="J11" s="3">
        <v>0</v>
      </c>
      <c r="L11" s="3">
        <v>0</v>
      </c>
      <c r="O11" s="4" t="s">
        <v>36</v>
      </c>
      <c r="R11" s="4" t="s">
        <v>286</v>
      </c>
    </row>
    <row r="12" spans="1:18">
      <c r="A12" s="3" t="s">
        <v>287</v>
      </c>
      <c r="B12" s="3" t="s">
        <v>266</v>
      </c>
      <c r="C12" s="3" t="s">
        <v>267</v>
      </c>
      <c r="F12" s="3" t="s">
        <v>166</v>
      </c>
      <c r="H12" s="3" t="s">
        <v>288</v>
      </c>
      <c r="J12" s="3">
        <v>0</v>
      </c>
      <c r="L12" s="3">
        <v>0</v>
      </c>
      <c r="O12" s="3" t="s">
        <v>36</v>
      </c>
      <c r="R12" s="3" t="s">
        <v>289</v>
      </c>
    </row>
    <row r="13" spans="1:18">
      <c r="A13" s="4" t="s">
        <v>290</v>
      </c>
      <c r="B13" s="4" t="s">
        <v>271</v>
      </c>
      <c r="C13" s="4" t="s">
        <v>267</v>
      </c>
      <c r="F13" s="4" t="s">
        <v>209</v>
      </c>
      <c r="H13" s="4" t="s">
        <v>291</v>
      </c>
      <c r="J13" s="3">
        <v>0</v>
      </c>
      <c r="L13" s="3">
        <v>0</v>
      </c>
      <c r="O13" s="4" t="s">
        <v>36</v>
      </c>
      <c r="R13" s="4" t="s">
        <v>292</v>
      </c>
    </row>
    <row r="14" spans="1:18">
      <c r="A14" s="3" t="s">
        <v>293</v>
      </c>
      <c r="B14" s="3" t="s">
        <v>262</v>
      </c>
      <c r="C14" s="3" t="s">
        <v>250</v>
      </c>
      <c r="F14" s="3" t="s">
        <v>148</v>
      </c>
      <c r="H14" s="3" t="s">
        <v>294</v>
      </c>
      <c r="J14" s="3">
        <v>0</v>
      </c>
      <c r="L14" s="3">
        <v>0</v>
      </c>
      <c r="O14" s="3" t="s">
        <v>36</v>
      </c>
      <c r="R14" s="3" t="s">
        <v>295</v>
      </c>
    </row>
    <row r="15" spans="1:18">
      <c r="A15" s="4" t="s">
        <v>296</v>
      </c>
      <c r="B15" s="4" t="s">
        <v>271</v>
      </c>
      <c r="C15" s="4" t="s">
        <v>250</v>
      </c>
      <c r="F15" s="4" t="s">
        <v>166</v>
      </c>
      <c r="H15" s="4" t="s">
        <v>297</v>
      </c>
      <c r="J15" s="3">
        <v>0</v>
      </c>
      <c r="L15" s="3">
        <v>0</v>
      </c>
      <c r="O15" s="4" t="s">
        <v>36</v>
      </c>
      <c r="R15" s="4" t="s">
        <v>298</v>
      </c>
    </row>
    <row r="16" spans="1:18">
      <c r="A16" s="3" t="s">
        <v>299</v>
      </c>
      <c r="B16" s="3" t="s">
        <v>271</v>
      </c>
      <c r="C16" s="3" t="s">
        <v>250</v>
      </c>
      <c r="F16" s="3" t="s">
        <v>209</v>
      </c>
      <c r="H16" s="3" t="s">
        <v>300</v>
      </c>
      <c r="J16" s="3">
        <v>0</v>
      </c>
      <c r="L16" s="3">
        <v>0</v>
      </c>
      <c r="O16" s="3" t="s">
        <v>36</v>
      </c>
      <c r="R16" s="3" t="s">
        <v>301</v>
      </c>
    </row>
    <row r="17" spans="1:18">
      <c r="A17" s="4" t="s">
        <v>302</v>
      </c>
      <c r="C17" s="4" t="s">
        <v>303</v>
      </c>
      <c r="F17" s="4" t="s">
        <v>148</v>
      </c>
      <c r="H17" s="4" t="s">
        <v>304</v>
      </c>
      <c r="J17" s="3">
        <v>0</v>
      </c>
      <c r="L17" s="3">
        <v>0</v>
      </c>
      <c r="O17" s="4" t="s">
        <v>174</v>
      </c>
      <c r="R17" s="4" t="s">
        <v>305</v>
      </c>
    </row>
    <row r="18" spans="1:18">
      <c r="A18" s="3" t="s">
        <v>306</v>
      </c>
      <c r="B18" s="3" t="s">
        <v>249</v>
      </c>
      <c r="C18" s="3" t="s">
        <v>255</v>
      </c>
      <c r="F18" s="3" t="s">
        <v>148</v>
      </c>
      <c r="H18" s="3" t="s">
        <v>307</v>
      </c>
      <c r="J18" s="3">
        <v>0</v>
      </c>
      <c r="L18" s="3">
        <v>0</v>
      </c>
      <c r="O18" s="3" t="s">
        <v>36</v>
      </c>
      <c r="R18" s="3" t="s">
        <v>308</v>
      </c>
    </row>
    <row r="19" spans="1:18">
      <c r="A19" s="4" t="s">
        <v>309</v>
      </c>
      <c r="B19" s="4" t="s">
        <v>262</v>
      </c>
      <c r="C19" s="4" t="s">
        <v>267</v>
      </c>
      <c r="F19" s="4" t="s">
        <v>148</v>
      </c>
      <c r="H19" s="4" t="s">
        <v>310</v>
      </c>
      <c r="J19" s="3">
        <v>0</v>
      </c>
      <c r="L19" s="3">
        <v>0</v>
      </c>
      <c r="O19" s="4" t="s">
        <v>36</v>
      </c>
      <c r="R19" s="4" t="s">
        <v>311</v>
      </c>
    </row>
    <row r="20" spans="1:18">
      <c r="A20" s="3" t="s">
        <v>312</v>
      </c>
      <c r="B20" s="3" t="s">
        <v>262</v>
      </c>
      <c r="C20" s="3" t="s">
        <v>250</v>
      </c>
      <c r="F20" s="3" t="s">
        <v>148</v>
      </c>
      <c r="H20" s="3" t="s">
        <v>313</v>
      </c>
      <c r="J20" s="3">
        <v>0</v>
      </c>
      <c r="L20" s="3">
        <v>0</v>
      </c>
      <c r="O20" s="3" t="s">
        <v>36</v>
      </c>
      <c r="R20" s="3" t="s">
        <v>314</v>
      </c>
    </row>
    <row r="21" spans="1:18">
      <c r="A21" s="4" t="s">
        <v>315</v>
      </c>
      <c r="B21" s="4" t="s">
        <v>254</v>
      </c>
      <c r="C21" s="4" t="s">
        <v>255</v>
      </c>
      <c r="F21" s="4" t="s">
        <v>148</v>
      </c>
      <c r="H21" s="4" t="s">
        <v>316</v>
      </c>
      <c r="J21" s="3">
        <v>0</v>
      </c>
      <c r="L21" s="3">
        <v>0</v>
      </c>
      <c r="O21" s="4" t="s">
        <v>36</v>
      </c>
      <c r="R21" s="4" t="s">
        <v>317</v>
      </c>
    </row>
    <row r="22" spans="1:18">
      <c r="A22" s="3" t="s">
        <v>318</v>
      </c>
      <c r="B22" s="3" t="s">
        <v>249</v>
      </c>
      <c r="C22" s="3" t="s">
        <v>267</v>
      </c>
      <c r="F22" s="3" t="s">
        <v>148</v>
      </c>
      <c r="H22" s="3" t="s">
        <v>319</v>
      </c>
      <c r="J22" s="3">
        <v>0</v>
      </c>
      <c r="L22" s="3">
        <v>0</v>
      </c>
      <c r="O22" s="3" t="s">
        <v>36</v>
      </c>
      <c r="R22" s="3" t="s">
        <v>320</v>
      </c>
    </row>
    <row r="23" spans="1:18">
      <c r="A23" s="4" t="s">
        <v>321</v>
      </c>
      <c r="B23" s="4" t="s">
        <v>262</v>
      </c>
      <c r="C23" s="4" t="s">
        <v>250</v>
      </c>
      <c r="F23" s="4" t="s">
        <v>166</v>
      </c>
      <c r="H23" s="4" t="s">
        <v>322</v>
      </c>
      <c r="J23" s="3">
        <v>0</v>
      </c>
      <c r="L23" s="3">
        <v>0</v>
      </c>
      <c r="O23" s="4" t="s">
        <v>36</v>
      </c>
      <c r="R23" s="4" t="s">
        <v>323</v>
      </c>
    </row>
    <row r="24" spans="1:18">
      <c r="A24" s="3" t="s">
        <v>324</v>
      </c>
      <c r="B24" s="3" t="s">
        <v>249</v>
      </c>
      <c r="C24" s="3" t="s">
        <v>255</v>
      </c>
      <c r="F24" s="3" t="s">
        <v>209</v>
      </c>
      <c r="H24" s="3" t="s">
        <v>325</v>
      </c>
      <c r="J24" s="3">
        <v>0</v>
      </c>
      <c r="L24" s="3">
        <v>0</v>
      </c>
      <c r="O24" s="3" t="s">
        <v>36</v>
      </c>
      <c r="R24" s="3" t="s">
        <v>326</v>
      </c>
    </row>
    <row r="25" spans="1:18">
      <c r="A25" s="4" t="s">
        <v>327</v>
      </c>
      <c r="B25" s="4" t="s">
        <v>262</v>
      </c>
      <c r="C25" s="4" t="s">
        <v>267</v>
      </c>
      <c r="F25" s="4" t="s">
        <v>166</v>
      </c>
      <c r="H25" s="4" t="s">
        <v>328</v>
      </c>
      <c r="J25" s="3">
        <v>0</v>
      </c>
      <c r="L25" s="3">
        <v>0</v>
      </c>
      <c r="O25" s="4" t="s">
        <v>36</v>
      </c>
      <c r="R25" s="4" t="s">
        <v>329</v>
      </c>
    </row>
    <row r="26" spans="1:18">
      <c r="A26" s="3" t="s">
        <v>330</v>
      </c>
      <c r="B26" s="3" t="s">
        <v>249</v>
      </c>
      <c r="C26" s="3" t="s">
        <v>267</v>
      </c>
      <c r="F26" s="3" t="s">
        <v>148</v>
      </c>
      <c r="H26" s="3" t="s">
        <v>331</v>
      </c>
      <c r="J26" s="3">
        <v>0</v>
      </c>
      <c r="L26" s="3">
        <v>0</v>
      </c>
      <c r="O26" s="3" t="s">
        <v>36</v>
      </c>
      <c r="R26" s="3" t="s">
        <v>332</v>
      </c>
    </row>
    <row r="27" spans="1:18">
      <c r="A27" s="4" t="s">
        <v>333</v>
      </c>
      <c r="B27" s="4" t="s">
        <v>249</v>
      </c>
      <c r="C27" s="4" t="s">
        <v>255</v>
      </c>
      <c r="F27" s="4" t="s">
        <v>148</v>
      </c>
      <c r="H27" s="4" t="s">
        <v>334</v>
      </c>
      <c r="J27" s="3">
        <v>0</v>
      </c>
      <c r="L27" s="3">
        <v>0</v>
      </c>
      <c r="O27" s="4" t="s">
        <v>36</v>
      </c>
      <c r="R27" s="4" t="s">
        <v>335</v>
      </c>
    </row>
    <row r="28" spans="1:18">
      <c r="A28" s="3" t="s">
        <v>336</v>
      </c>
      <c r="B28" s="3" t="s">
        <v>262</v>
      </c>
      <c r="C28" s="3" t="s">
        <v>255</v>
      </c>
      <c r="F28" s="3" t="s">
        <v>148</v>
      </c>
      <c r="H28" s="3" t="s">
        <v>337</v>
      </c>
      <c r="J28" s="3">
        <v>0</v>
      </c>
      <c r="L28" s="3">
        <v>0</v>
      </c>
      <c r="O28" s="3" t="s">
        <v>36</v>
      </c>
      <c r="R28" s="3" t="s">
        <v>338</v>
      </c>
    </row>
    <row r="29" spans="1:18">
      <c r="A29" s="4" t="s">
        <v>339</v>
      </c>
      <c r="B29" s="4" t="s">
        <v>262</v>
      </c>
      <c r="C29" s="4" t="s">
        <v>267</v>
      </c>
      <c r="F29" s="4" t="s">
        <v>148</v>
      </c>
      <c r="H29" s="4" t="s">
        <v>340</v>
      </c>
      <c r="J29" s="3">
        <v>0</v>
      </c>
      <c r="L29" s="3">
        <v>0</v>
      </c>
      <c r="O29" s="4" t="s">
        <v>36</v>
      </c>
      <c r="R29" s="4" t="s">
        <v>341</v>
      </c>
    </row>
    <row r="30" spans="1:18">
      <c r="A30" s="3" t="s">
        <v>342</v>
      </c>
      <c r="B30" s="3" t="s">
        <v>262</v>
      </c>
      <c r="C30" s="3" t="s">
        <v>250</v>
      </c>
      <c r="F30" s="3" t="s">
        <v>209</v>
      </c>
      <c r="H30" s="3" t="s">
        <v>343</v>
      </c>
      <c r="J30" s="3">
        <v>0</v>
      </c>
      <c r="L30" s="3">
        <v>0</v>
      </c>
      <c r="O30" s="3" t="s">
        <v>36</v>
      </c>
      <c r="R30" s="3" t="s">
        <v>344</v>
      </c>
    </row>
    <row r="31" spans="1:18">
      <c r="A31" s="4" t="s">
        <v>345</v>
      </c>
      <c r="B31" s="4" t="s">
        <v>284</v>
      </c>
      <c r="C31" s="4" t="s">
        <v>255</v>
      </c>
      <c r="F31" s="4" t="s">
        <v>209</v>
      </c>
      <c r="H31" s="4" t="s">
        <v>346</v>
      </c>
      <c r="J31" s="3">
        <v>0</v>
      </c>
      <c r="L31" s="3">
        <v>0</v>
      </c>
      <c r="O31" s="4" t="s">
        <v>36</v>
      </c>
      <c r="R31" s="4" t="s">
        <v>347</v>
      </c>
    </row>
    <row r="32" spans="1:18">
      <c r="A32" s="3" t="s">
        <v>348</v>
      </c>
      <c r="B32" s="3" t="s">
        <v>254</v>
      </c>
      <c r="C32" s="3" t="s">
        <v>267</v>
      </c>
      <c r="F32" s="3" t="s">
        <v>209</v>
      </c>
      <c r="H32" s="3" t="s">
        <v>349</v>
      </c>
      <c r="J32" s="3">
        <v>0</v>
      </c>
      <c r="L32" s="3">
        <v>0</v>
      </c>
      <c r="O32" s="3" t="s">
        <v>36</v>
      </c>
      <c r="R32" s="3" t="s">
        <v>350</v>
      </c>
    </row>
  </sheetData>
  <autoFilter ref="A1:R32"/>
  <hyperlinks>
    <hyperlink ref="Q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351</v>
      </c>
      <c r="B2" s="3" t="s">
        <v>352</v>
      </c>
      <c r="G2" s="3">
        <v>600</v>
      </c>
      <c r="H2" s="3" t="s">
        <v>353</v>
      </c>
      <c r="J2" s="3">
        <v>0</v>
      </c>
      <c r="L2" s="3">
        <v>0</v>
      </c>
      <c r="O2" s="3" t="s">
        <v>174</v>
      </c>
      <c r="R2" s="3" t="s">
        <v>354</v>
      </c>
    </row>
    <row r="3" spans="1:18">
      <c r="A3" s="4" t="s">
        <v>355</v>
      </c>
      <c r="B3" s="4" t="s">
        <v>356</v>
      </c>
      <c r="G3" s="3">
        <v>450</v>
      </c>
      <c r="H3" s="4" t="s">
        <v>357</v>
      </c>
      <c r="J3" s="3">
        <v>0</v>
      </c>
      <c r="L3" s="3">
        <v>0</v>
      </c>
      <c r="O3" s="4" t="s">
        <v>36</v>
      </c>
      <c r="R3" s="4" t="s">
        <v>358</v>
      </c>
    </row>
    <row r="4" spans="1:18">
      <c r="A4" s="3" t="s">
        <v>359</v>
      </c>
      <c r="B4" s="3" t="s">
        <v>360</v>
      </c>
      <c r="G4" s="3">
        <v>550</v>
      </c>
      <c r="H4" s="3" t="s">
        <v>361</v>
      </c>
      <c r="J4" s="3">
        <v>0</v>
      </c>
      <c r="L4" s="3">
        <v>0</v>
      </c>
      <c r="O4" s="3" t="s">
        <v>36</v>
      </c>
      <c r="R4" s="3" t="s">
        <v>362</v>
      </c>
    </row>
    <row r="5" spans="1:18">
      <c r="A5" s="4" t="s">
        <v>363</v>
      </c>
      <c r="B5" s="4" t="s">
        <v>364</v>
      </c>
      <c r="G5" s="3">
        <v>1000</v>
      </c>
      <c r="H5" s="4" t="s">
        <v>365</v>
      </c>
      <c r="J5" s="3">
        <v>0</v>
      </c>
      <c r="L5" s="3">
        <v>0</v>
      </c>
      <c r="O5" s="4" t="s">
        <v>36</v>
      </c>
      <c r="R5" s="4" t="s">
        <v>366</v>
      </c>
    </row>
    <row r="6" spans="1:18">
      <c r="A6" s="3" t="s">
        <v>367</v>
      </c>
      <c r="B6" s="3" t="s">
        <v>364</v>
      </c>
      <c r="G6" s="3">
        <v>750</v>
      </c>
      <c r="H6" s="3" t="s">
        <v>368</v>
      </c>
      <c r="J6" s="3">
        <v>0</v>
      </c>
      <c r="L6" s="3">
        <v>0</v>
      </c>
      <c r="O6" s="3" t="s">
        <v>36</v>
      </c>
      <c r="R6" s="3" t="s">
        <v>369</v>
      </c>
    </row>
    <row r="7" spans="1:18">
      <c r="A7" s="4" t="s">
        <v>370</v>
      </c>
      <c r="B7" s="4" t="s">
        <v>364</v>
      </c>
      <c r="G7" s="3">
        <v>850</v>
      </c>
      <c r="H7" s="4" t="s">
        <v>371</v>
      </c>
      <c r="J7" s="3">
        <v>0</v>
      </c>
      <c r="L7" s="3">
        <v>0</v>
      </c>
      <c r="O7" s="4" t="s">
        <v>36</v>
      </c>
      <c r="R7" s="4" t="s">
        <v>372</v>
      </c>
    </row>
    <row r="8" spans="1:18">
      <c r="A8" s="3" t="s">
        <v>373</v>
      </c>
      <c r="B8" s="3" t="s">
        <v>364</v>
      </c>
      <c r="G8" s="3">
        <v>1000</v>
      </c>
      <c r="H8" s="3" t="s">
        <v>374</v>
      </c>
      <c r="J8" s="3">
        <v>0</v>
      </c>
      <c r="L8" s="3">
        <v>0</v>
      </c>
      <c r="O8" s="3" t="s">
        <v>36</v>
      </c>
      <c r="R8" s="3" t="s">
        <v>375</v>
      </c>
    </row>
    <row r="9" spans="1:18">
      <c r="A9" s="4" t="s">
        <v>376</v>
      </c>
      <c r="B9" s="4" t="s">
        <v>364</v>
      </c>
      <c r="G9" s="3">
        <v>750</v>
      </c>
      <c r="H9" s="4" t="s">
        <v>377</v>
      </c>
      <c r="J9" s="3">
        <v>0</v>
      </c>
      <c r="L9" s="3">
        <v>0</v>
      </c>
      <c r="O9" s="4" t="s">
        <v>36</v>
      </c>
      <c r="R9" s="4" t="s">
        <v>378</v>
      </c>
    </row>
    <row r="10" spans="1:18">
      <c r="A10" s="3" t="s">
        <v>379</v>
      </c>
      <c r="B10" s="3" t="s">
        <v>364</v>
      </c>
      <c r="G10" s="3">
        <v>850</v>
      </c>
      <c r="H10" s="3" t="s">
        <v>380</v>
      </c>
      <c r="J10" s="3">
        <v>0</v>
      </c>
      <c r="L10" s="3">
        <v>0</v>
      </c>
      <c r="O10" s="3" t="s">
        <v>36</v>
      </c>
      <c r="R10" s="3" t="s">
        <v>381</v>
      </c>
    </row>
    <row r="11" spans="1:18">
      <c r="A11" s="4" t="s">
        <v>382</v>
      </c>
      <c r="B11" s="4" t="s">
        <v>356</v>
      </c>
      <c r="G11" s="3">
        <v>500</v>
      </c>
      <c r="H11" s="4" t="s">
        <v>383</v>
      </c>
      <c r="J11" s="3">
        <v>0</v>
      </c>
      <c r="L11" s="3">
        <v>0</v>
      </c>
      <c r="O11" s="4" t="s">
        <v>36</v>
      </c>
      <c r="R11" s="4" t="s">
        <v>384</v>
      </c>
    </row>
    <row r="12" spans="1:18">
      <c r="A12" s="3" t="s">
        <v>385</v>
      </c>
      <c r="B12" s="3" t="s">
        <v>386</v>
      </c>
      <c r="G12" s="3">
        <v>1000</v>
      </c>
      <c r="H12" s="3" t="s">
        <v>387</v>
      </c>
      <c r="J12" s="3">
        <v>0</v>
      </c>
      <c r="L12" s="3">
        <v>0</v>
      </c>
      <c r="O12" s="3" t="s">
        <v>36</v>
      </c>
      <c r="R12" s="3" t="s">
        <v>388</v>
      </c>
    </row>
    <row r="13" spans="1:18">
      <c r="A13" s="4" t="s">
        <v>389</v>
      </c>
      <c r="B13" s="4" t="s">
        <v>390</v>
      </c>
      <c r="G13" s="3">
        <v>600</v>
      </c>
      <c r="H13" s="4" t="s">
        <v>391</v>
      </c>
      <c r="J13" s="3">
        <v>0</v>
      </c>
      <c r="L13" s="3">
        <v>0</v>
      </c>
      <c r="O13" s="4" t="s">
        <v>36</v>
      </c>
      <c r="R13" s="4" t="s">
        <v>392</v>
      </c>
    </row>
    <row r="14" spans="1:18">
      <c r="A14" s="3" t="s">
        <v>393</v>
      </c>
      <c r="B14" s="3" t="s">
        <v>394</v>
      </c>
      <c r="G14" s="3">
        <v>750</v>
      </c>
      <c r="H14" s="3" t="s">
        <v>395</v>
      </c>
      <c r="J14" s="3">
        <v>0</v>
      </c>
      <c r="L14" s="3">
        <v>0</v>
      </c>
      <c r="O14" s="3" t="s">
        <v>36</v>
      </c>
      <c r="R14" s="3" t="s">
        <v>396</v>
      </c>
    </row>
    <row r="15" spans="1:18">
      <c r="A15" s="4" t="s">
        <v>397</v>
      </c>
      <c r="B15" s="4" t="s">
        <v>394</v>
      </c>
      <c r="G15" s="3">
        <v>850</v>
      </c>
      <c r="H15" s="4" t="s">
        <v>398</v>
      </c>
      <c r="J15" s="3">
        <v>0</v>
      </c>
      <c r="L15" s="3">
        <v>0</v>
      </c>
      <c r="O15" s="4" t="s">
        <v>36</v>
      </c>
      <c r="R15" s="4" t="s">
        <v>399</v>
      </c>
    </row>
    <row r="16" spans="1:18">
      <c r="A16" s="3" t="s">
        <v>400</v>
      </c>
      <c r="B16" s="3" t="s">
        <v>356</v>
      </c>
      <c r="G16" s="3">
        <v>400</v>
      </c>
      <c r="H16" s="3" t="s">
        <v>401</v>
      </c>
      <c r="J16" s="3">
        <v>0</v>
      </c>
      <c r="L16" s="3">
        <v>0</v>
      </c>
      <c r="O16" s="3" t="s">
        <v>36</v>
      </c>
      <c r="R16" s="3" t="s">
        <v>402</v>
      </c>
    </row>
  </sheetData>
  <autoFilter ref="A1:R1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2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403</v>
      </c>
      <c r="C2" s="3" t="s">
        <v>404</v>
      </c>
      <c r="H2" s="3" t="s">
        <v>405</v>
      </c>
      <c r="J2" s="3">
        <v>0</v>
      </c>
      <c r="L2" s="3">
        <v>0</v>
      </c>
      <c r="O2" s="3" t="s">
        <v>174</v>
      </c>
      <c r="R2" s="3" t="s">
        <v>406</v>
      </c>
    </row>
    <row r="3" spans="1:18">
      <c r="A3" s="4" t="s">
        <v>407</v>
      </c>
      <c r="B3" s="4" t="s">
        <v>408</v>
      </c>
      <c r="C3" s="4" t="s">
        <v>255</v>
      </c>
      <c r="H3" s="4" t="s">
        <v>409</v>
      </c>
      <c r="J3" s="3">
        <v>0</v>
      </c>
      <c r="L3" s="3">
        <v>0</v>
      </c>
      <c r="O3" s="4" t="s">
        <v>36</v>
      </c>
      <c r="R3" s="4" t="s">
        <v>410</v>
      </c>
    </row>
    <row r="4" spans="1:18">
      <c r="A4" s="3" t="s">
        <v>411</v>
      </c>
      <c r="B4" s="3" t="s">
        <v>254</v>
      </c>
      <c r="C4" s="3" t="s">
        <v>250</v>
      </c>
      <c r="H4" s="3" t="s">
        <v>412</v>
      </c>
      <c r="J4" s="3">
        <v>0</v>
      </c>
      <c r="L4" s="3">
        <v>0</v>
      </c>
      <c r="O4" s="3" t="s">
        <v>36</v>
      </c>
      <c r="R4" s="3" t="s">
        <v>413</v>
      </c>
    </row>
    <row r="5" spans="1:18">
      <c r="A5" s="4" t="s">
        <v>414</v>
      </c>
      <c r="B5" s="4" t="s">
        <v>254</v>
      </c>
      <c r="C5" s="4" t="s">
        <v>255</v>
      </c>
      <c r="H5" s="4" t="s">
        <v>415</v>
      </c>
      <c r="J5" s="3">
        <v>0</v>
      </c>
      <c r="L5" s="3">
        <v>0</v>
      </c>
      <c r="O5" s="4" t="s">
        <v>36</v>
      </c>
      <c r="R5" s="4" t="s">
        <v>416</v>
      </c>
    </row>
    <row r="6" spans="1:18">
      <c r="A6" s="3" t="s">
        <v>417</v>
      </c>
      <c r="B6" s="3" t="s">
        <v>408</v>
      </c>
      <c r="C6" s="3" t="s">
        <v>250</v>
      </c>
      <c r="H6" s="3" t="s">
        <v>418</v>
      </c>
      <c r="J6" s="3">
        <v>0</v>
      </c>
      <c r="L6" s="3">
        <v>0</v>
      </c>
      <c r="O6" s="3" t="s">
        <v>36</v>
      </c>
      <c r="R6" s="3" t="s">
        <v>419</v>
      </c>
    </row>
    <row r="7" spans="1:18">
      <c r="A7" s="4" t="s">
        <v>420</v>
      </c>
      <c r="B7" s="4" t="s">
        <v>408</v>
      </c>
      <c r="C7" s="4" t="s">
        <v>267</v>
      </c>
      <c r="H7" s="4" t="s">
        <v>421</v>
      </c>
      <c r="J7" s="3">
        <v>0</v>
      </c>
      <c r="L7" s="3">
        <v>0</v>
      </c>
      <c r="O7" s="4" t="s">
        <v>36</v>
      </c>
      <c r="R7" s="4" t="s">
        <v>422</v>
      </c>
    </row>
    <row r="8" spans="1:18">
      <c r="A8" s="3" t="s">
        <v>423</v>
      </c>
      <c r="B8" s="3" t="s">
        <v>408</v>
      </c>
      <c r="C8" s="3" t="s">
        <v>267</v>
      </c>
      <c r="H8" s="3" t="s">
        <v>424</v>
      </c>
      <c r="J8" s="3">
        <v>0</v>
      </c>
      <c r="L8" s="3">
        <v>0</v>
      </c>
      <c r="O8" s="3" t="s">
        <v>36</v>
      </c>
      <c r="R8" s="3" t="s">
        <v>425</v>
      </c>
    </row>
    <row r="9" spans="1:18">
      <c r="A9" s="4" t="s">
        <v>426</v>
      </c>
      <c r="B9" s="4" t="s">
        <v>408</v>
      </c>
      <c r="C9" s="4" t="s">
        <v>255</v>
      </c>
      <c r="H9" s="4" t="s">
        <v>427</v>
      </c>
      <c r="J9" s="3">
        <v>0</v>
      </c>
      <c r="L9" s="3">
        <v>0</v>
      </c>
      <c r="O9" s="4" t="s">
        <v>36</v>
      </c>
      <c r="R9" s="4" t="s">
        <v>428</v>
      </c>
    </row>
    <row r="10" spans="1:18">
      <c r="A10" s="3" t="s">
        <v>429</v>
      </c>
      <c r="B10" s="3" t="s">
        <v>430</v>
      </c>
      <c r="C10" s="3" t="s">
        <v>250</v>
      </c>
      <c r="H10" s="3" t="s">
        <v>431</v>
      </c>
      <c r="J10" s="3">
        <v>0</v>
      </c>
      <c r="L10" s="3">
        <v>0</v>
      </c>
      <c r="O10" s="3" t="s">
        <v>36</v>
      </c>
      <c r="R10" s="3" t="s">
        <v>432</v>
      </c>
    </row>
    <row r="11" spans="1:18">
      <c r="A11" s="4" t="s">
        <v>433</v>
      </c>
      <c r="B11" s="4" t="s">
        <v>430</v>
      </c>
      <c r="C11" s="4" t="s">
        <v>250</v>
      </c>
      <c r="H11" s="4" t="s">
        <v>434</v>
      </c>
      <c r="J11" s="3">
        <v>0</v>
      </c>
      <c r="L11" s="3">
        <v>0</v>
      </c>
      <c r="O11" s="4" t="s">
        <v>36</v>
      </c>
      <c r="R11" s="4" t="s">
        <v>435</v>
      </c>
    </row>
    <row r="12" spans="1:18">
      <c r="A12" s="3" t="s">
        <v>436</v>
      </c>
      <c r="B12" s="3" t="s">
        <v>430</v>
      </c>
      <c r="C12" s="3" t="s">
        <v>255</v>
      </c>
      <c r="H12" s="3" t="s">
        <v>437</v>
      </c>
      <c r="J12" s="3">
        <v>0</v>
      </c>
      <c r="L12" s="3">
        <v>0</v>
      </c>
      <c r="O12" s="3" t="s">
        <v>36</v>
      </c>
      <c r="R12" s="3" t="s">
        <v>438</v>
      </c>
    </row>
    <row r="13" spans="1:18">
      <c r="A13" s="4" t="s">
        <v>439</v>
      </c>
      <c r="B13" s="4" t="s">
        <v>408</v>
      </c>
      <c r="C13" s="4" t="s">
        <v>255</v>
      </c>
      <c r="H13" s="4" t="s">
        <v>440</v>
      </c>
      <c r="J13" s="3">
        <v>0</v>
      </c>
      <c r="L13" s="3">
        <v>0</v>
      </c>
      <c r="O13" s="4" t="s">
        <v>36</v>
      </c>
      <c r="R13" s="4" t="s">
        <v>441</v>
      </c>
    </row>
    <row r="14" spans="1:18">
      <c r="A14" s="3" t="s">
        <v>442</v>
      </c>
      <c r="B14" s="3" t="s">
        <v>408</v>
      </c>
      <c r="C14" s="3" t="s">
        <v>250</v>
      </c>
      <c r="H14" s="3" t="s">
        <v>443</v>
      </c>
      <c r="J14" s="3">
        <v>0</v>
      </c>
      <c r="L14" s="3">
        <v>0</v>
      </c>
      <c r="O14" s="3" t="s">
        <v>36</v>
      </c>
      <c r="R14" s="3" t="s">
        <v>444</v>
      </c>
    </row>
    <row r="15" spans="1:18">
      <c r="A15" s="4" t="s">
        <v>445</v>
      </c>
      <c r="B15" s="4" t="s">
        <v>430</v>
      </c>
      <c r="C15" s="4" t="s">
        <v>267</v>
      </c>
      <c r="H15" s="4" t="s">
        <v>446</v>
      </c>
      <c r="J15" s="3">
        <v>0</v>
      </c>
      <c r="L15" s="3">
        <v>0</v>
      </c>
      <c r="O15" s="4" t="s">
        <v>36</v>
      </c>
      <c r="R15" s="4" t="s">
        <v>447</v>
      </c>
    </row>
    <row r="16" spans="1:18">
      <c r="A16" s="3" t="s">
        <v>448</v>
      </c>
      <c r="B16" s="3" t="s">
        <v>408</v>
      </c>
      <c r="C16" s="3" t="s">
        <v>267</v>
      </c>
      <c r="H16" s="3" t="s">
        <v>449</v>
      </c>
      <c r="J16" s="3">
        <v>0</v>
      </c>
      <c r="L16" s="3">
        <v>0</v>
      </c>
      <c r="O16" s="3" t="s">
        <v>36</v>
      </c>
      <c r="R16" s="3" t="s">
        <v>450</v>
      </c>
    </row>
    <row r="17" spans="1:18">
      <c r="A17" s="4" t="s">
        <v>451</v>
      </c>
      <c r="B17" s="4" t="s">
        <v>408</v>
      </c>
      <c r="C17" s="4" t="s">
        <v>267</v>
      </c>
      <c r="H17" s="4" t="s">
        <v>452</v>
      </c>
      <c r="J17" s="3">
        <v>0</v>
      </c>
      <c r="L17" s="3">
        <v>0</v>
      </c>
      <c r="O17" s="4" t="s">
        <v>36</v>
      </c>
      <c r="R17" s="4" t="s">
        <v>453</v>
      </c>
    </row>
    <row r="18" spans="1:18">
      <c r="A18" s="3" t="s">
        <v>454</v>
      </c>
      <c r="B18" s="3" t="s">
        <v>254</v>
      </c>
      <c r="C18" s="3" t="s">
        <v>250</v>
      </c>
      <c r="H18" s="3" t="s">
        <v>455</v>
      </c>
      <c r="J18" s="3">
        <v>0</v>
      </c>
      <c r="L18" s="3">
        <v>0</v>
      </c>
      <c r="O18" s="3" t="s">
        <v>36</v>
      </c>
      <c r="R18" s="3" t="s">
        <v>456</v>
      </c>
    </row>
    <row r="19" spans="1:18">
      <c r="A19" s="4" t="s">
        <v>457</v>
      </c>
      <c r="B19" s="4" t="s">
        <v>430</v>
      </c>
      <c r="C19" s="4" t="s">
        <v>255</v>
      </c>
      <c r="H19" s="4" t="s">
        <v>458</v>
      </c>
      <c r="J19" s="3">
        <v>0</v>
      </c>
      <c r="L19" s="3">
        <v>0</v>
      </c>
      <c r="O19" s="4" t="s">
        <v>36</v>
      </c>
      <c r="R19" s="4" t="s">
        <v>459</v>
      </c>
    </row>
    <row r="20" spans="1:18">
      <c r="A20" s="3" t="s">
        <v>460</v>
      </c>
      <c r="B20" s="3" t="s">
        <v>254</v>
      </c>
      <c r="C20" s="3" t="s">
        <v>267</v>
      </c>
      <c r="H20" s="3" t="s">
        <v>461</v>
      </c>
      <c r="J20" s="3">
        <v>0</v>
      </c>
      <c r="L20" s="3">
        <v>0</v>
      </c>
      <c r="O20" s="3" t="s">
        <v>36</v>
      </c>
      <c r="R20" s="3" t="s">
        <v>462</v>
      </c>
    </row>
  </sheetData>
  <autoFilter ref="A1:R20"/>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1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463</v>
      </c>
      <c r="C2" s="3" t="s">
        <v>147</v>
      </c>
      <c r="H2" s="3" t="s">
        <v>464</v>
      </c>
      <c r="J2" s="3">
        <v>0</v>
      </c>
      <c r="L2" s="3">
        <v>0</v>
      </c>
      <c r="O2" s="3" t="s">
        <v>36</v>
      </c>
      <c r="R2" s="3" t="s">
        <v>465</v>
      </c>
    </row>
    <row r="3" spans="1:18">
      <c r="A3" s="4" t="s">
        <v>466</v>
      </c>
      <c r="C3" s="4" t="s">
        <v>147</v>
      </c>
      <c r="H3" s="4" t="s">
        <v>467</v>
      </c>
      <c r="J3" s="3">
        <v>0</v>
      </c>
      <c r="L3" s="3">
        <v>0</v>
      </c>
      <c r="O3" s="4" t="s">
        <v>36</v>
      </c>
      <c r="R3" s="4" t="s">
        <v>468</v>
      </c>
    </row>
    <row r="4" spans="1:18">
      <c r="A4" s="3" t="s">
        <v>469</v>
      </c>
      <c r="C4" s="3" t="s">
        <v>147</v>
      </c>
      <c r="H4" s="3" t="s">
        <v>470</v>
      </c>
      <c r="J4" s="3">
        <v>0</v>
      </c>
      <c r="L4" s="3">
        <v>0</v>
      </c>
      <c r="O4" s="3" t="s">
        <v>36</v>
      </c>
      <c r="R4" s="3" t="s">
        <v>471</v>
      </c>
    </row>
    <row r="5" spans="1:18">
      <c r="A5" s="4" t="s">
        <v>472</v>
      </c>
      <c r="C5" s="4" t="s">
        <v>147</v>
      </c>
      <c r="H5" s="4" t="s">
        <v>473</v>
      </c>
      <c r="J5" s="3">
        <v>0</v>
      </c>
      <c r="L5" s="3">
        <v>0</v>
      </c>
      <c r="O5" s="4" t="s">
        <v>36</v>
      </c>
      <c r="R5" s="4" t="s">
        <v>474</v>
      </c>
    </row>
    <row r="6" spans="1:18">
      <c r="A6" s="3" t="s">
        <v>475</v>
      </c>
      <c r="C6" s="3" t="s">
        <v>147</v>
      </c>
      <c r="H6" s="3" t="s">
        <v>476</v>
      </c>
      <c r="J6" s="3">
        <v>0</v>
      </c>
      <c r="L6" s="3">
        <v>0</v>
      </c>
      <c r="O6" s="3" t="s">
        <v>36</v>
      </c>
      <c r="R6" s="3" t="s">
        <v>477</v>
      </c>
    </row>
    <row r="7" spans="1:18">
      <c r="A7" s="4" t="s">
        <v>478</v>
      </c>
      <c r="C7" s="4" t="s">
        <v>147</v>
      </c>
      <c r="H7" s="4" t="s">
        <v>479</v>
      </c>
      <c r="J7" s="3">
        <v>0</v>
      </c>
      <c r="L7" s="3">
        <v>0</v>
      </c>
      <c r="O7" s="4" t="s">
        <v>36</v>
      </c>
      <c r="R7" s="4" t="s">
        <v>480</v>
      </c>
    </row>
    <row r="8" spans="1:18">
      <c r="A8" s="3" t="s">
        <v>481</v>
      </c>
      <c r="C8" s="3" t="s">
        <v>147</v>
      </c>
      <c r="H8" s="3" t="s">
        <v>482</v>
      </c>
      <c r="J8" s="3">
        <v>0</v>
      </c>
      <c r="L8" s="3">
        <v>0</v>
      </c>
      <c r="O8" s="3" t="s">
        <v>36</v>
      </c>
      <c r="R8" s="3" t="s">
        <v>483</v>
      </c>
    </row>
    <row r="9" spans="1:18">
      <c r="A9" s="4" t="s">
        <v>484</v>
      </c>
      <c r="C9" s="4" t="s">
        <v>147</v>
      </c>
      <c r="H9" s="4" t="s">
        <v>485</v>
      </c>
      <c r="J9" s="3">
        <v>0</v>
      </c>
      <c r="L9" s="3">
        <v>0</v>
      </c>
      <c r="O9" s="4" t="s">
        <v>36</v>
      </c>
      <c r="R9" s="4" t="s">
        <v>486</v>
      </c>
    </row>
    <row r="10" spans="1:18">
      <c r="A10" s="3" t="s">
        <v>487</v>
      </c>
      <c r="C10" s="3" t="s">
        <v>147</v>
      </c>
      <c r="H10" s="3" t="s">
        <v>488</v>
      </c>
      <c r="J10" s="3">
        <v>0</v>
      </c>
      <c r="L10" s="3">
        <v>0</v>
      </c>
      <c r="O10" s="3" t="s">
        <v>36</v>
      </c>
      <c r="R10" s="3" t="s">
        <v>489</v>
      </c>
    </row>
  </sheetData>
  <autoFilter ref="A1:R10"/>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1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490</v>
      </c>
      <c r="C2" s="3" t="s">
        <v>491</v>
      </c>
      <c r="G2" s="3">
        <v>1000</v>
      </c>
      <c r="H2" s="3" t="s">
        <v>492</v>
      </c>
      <c r="J2" s="3">
        <v>0</v>
      </c>
      <c r="L2" s="3">
        <v>0</v>
      </c>
      <c r="O2" s="3" t="s">
        <v>36</v>
      </c>
      <c r="R2" s="3" t="s">
        <v>493</v>
      </c>
    </row>
    <row r="3" spans="1:18">
      <c r="A3" s="4" t="s">
        <v>494</v>
      </c>
      <c r="C3" s="4" t="s">
        <v>491</v>
      </c>
      <c r="G3" s="3">
        <v>250</v>
      </c>
      <c r="H3" s="4" t="s">
        <v>495</v>
      </c>
      <c r="J3" s="3">
        <v>0</v>
      </c>
      <c r="L3" s="3">
        <v>0</v>
      </c>
      <c r="O3" s="4" t="s">
        <v>36</v>
      </c>
      <c r="R3" s="4" t="s">
        <v>496</v>
      </c>
    </row>
    <row r="4" spans="1:18">
      <c r="A4" s="3" t="s">
        <v>497</v>
      </c>
      <c r="C4" s="3" t="s">
        <v>491</v>
      </c>
      <c r="G4" s="3">
        <v>500</v>
      </c>
      <c r="H4" s="3" t="s">
        <v>498</v>
      </c>
      <c r="J4" s="3">
        <v>0</v>
      </c>
      <c r="L4" s="3">
        <v>0</v>
      </c>
      <c r="O4" s="3" t="s">
        <v>36</v>
      </c>
      <c r="R4" s="3" t="s">
        <v>499</v>
      </c>
    </row>
    <row r="5" spans="1:18">
      <c r="A5" s="4" t="s">
        <v>500</v>
      </c>
      <c r="C5" s="4" t="s">
        <v>491</v>
      </c>
      <c r="G5" s="3">
        <v>240</v>
      </c>
      <c r="H5" s="4" t="s">
        <v>501</v>
      </c>
      <c r="J5" s="3">
        <v>0</v>
      </c>
      <c r="L5" s="3">
        <v>0</v>
      </c>
      <c r="O5" s="4" t="s">
        <v>36</v>
      </c>
      <c r="R5" s="4" t="s">
        <v>502</v>
      </c>
    </row>
    <row r="6" spans="1:18">
      <c r="A6" s="3" t="s">
        <v>503</v>
      </c>
      <c r="C6" s="3" t="s">
        <v>491</v>
      </c>
      <c r="G6" s="3">
        <v>480</v>
      </c>
      <c r="H6" s="3" t="s">
        <v>504</v>
      </c>
      <c r="J6" s="3">
        <v>0</v>
      </c>
      <c r="L6" s="3">
        <v>0</v>
      </c>
      <c r="O6" s="3" t="s">
        <v>36</v>
      </c>
      <c r="R6" s="3" t="s">
        <v>505</v>
      </c>
    </row>
    <row r="7" spans="1:18">
      <c r="A7" s="4" t="s">
        <v>506</v>
      </c>
      <c r="C7" s="4" t="s">
        <v>491</v>
      </c>
      <c r="G7" s="3">
        <v>960</v>
      </c>
      <c r="H7" s="4" t="s">
        <v>507</v>
      </c>
      <c r="J7" s="3">
        <v>0</v>
      </c>
      <c r="L7" s="3">
        <v>0</v>
      </c>
      <c r="O7" s="4" t="s">
        <v>36</v>
      </c>
      <c r="R7" s="4" t="s">
        <v>508</v>
      </c>
    </row>
    <row r="8" spans="1:18">
      <c r="A8" s="3" t="s">
        <v>509</v>
      </c>
      <c r="C8" s="3" t="s">
        <v>491</v>
      </c>
      <c r="G8" s="3">
        <v>1000</v>
      </c>
      <c r="H8" s="3" t="s">
        <v>510</v>
      </c>
      <c r="J8" s="3">
        <v>0</v>
      </c>
      <c r="L8" s="3">
        <v>0</v>
      </c>
      <c r="O8" s="3" t="s">
        <v>36</v>
      </c>
      <c r="R8" s="3" t="s">
        <v>511</v>
      </c>
    </row>
    <row r="9" spans="1:18">
      <c r="A9" s="4" t="s">
        <v>512</v>
      </c>
      <c r="C9" s="4" t="s">
        <v>491</v>
      </c>
      <c r="G9" s="3">
        <v>250</v>
      </c>
      <c r="H9" s="4" t="s">
        <v>513</v>
      </c>
      <c r="J9" s="3">
        <v>0</v>
      </c>
      <c r="L9" s="3">
        <v>0</v>
      </c>
      <c r="O9" s="4" t="s">
        <v>36</v>
      </c>
      <c r="R9" s="4" t="s">
        <v>514</v>
      </c>
    </row>
    <row r="10" spans="1:18">
      <c r="A10" s="3" t="s">
        <v>515</v>
      </c>
      <c r="C10" s="3" t="s">
        <v>491</v>
      </c>
      <c r="G10" s="3">
        <v>500</v>
      </c>
      <c r="H10" s="3" t="s">
        <v>516</v>
      </c>
      <c r="J10" s="3">
        <v>0</v>
      </c>
      <c r="L10" s="3">
        <v>0</v>
      </c>
      <c r="O10" s="3" t="s">
        <v>36</v>
      </c>
      <c r="R10" s="3" t="s">
        <v>517</v>
      </c>
    </row>
    <row r="11" spans="1:18">
      <c r="A11" s="4" t="s">
        <v>518</v>
      </c>
      <c r="C11" s="4" t="s">
        <v>491</v>
      </c>
      <c r="G11" s="3">
        <v>2000</v>
      </c>
      <c r="H11" s="4" t="s">
        <v>519</v>
      </c>
      <c r="J11" s="3">
        <v>0</v>
      </c>
      <c r="L11" s="3">
        <v>0</v>
      </c>
      <c r="O11" s="4" t="s">
        <v>36</v>
      </c>
      <c r="R11" s="4" t="s">
        <v>520</v>
      </c>
    </row>
    <row r="12" spans="1:18">
      <c r="A12" s="3" t="s">
        <v>521</v>
      </c>
      <c r="C12" s="3" t="s">
        <v>491</v>
      </c>
      <c r="G12" s="3">
        <v>4000</v>
      </c>
      <c r="H12" s="3" t="s">
        <v>522</v>
      </c>
      <c r="J12" s="3">
        <v>0</v>
      </c>
      <c r="L12" s="3">
        <v>0</v>
      </c>
      <c r="O12" s="3" t="s">
        <v>36</v>
      </c>
      <c r="R12" s="3" t="s">
        <v>523</v>
      </c>
    </row>
  </sheetData>
  <autoFilter ref="A1:R1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R1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524</v>
      </c>
      <c r="C2" s="3" t="s">
        <v>525</v>
      </c>
      <c r="G2" s="3">
        <v>2000</v>
      </c>
      <c r="H2" s="3" t="s">
        <v>526</v>
      </c>
      <c r="J2" s="3">
        <v>0</v>
      </c>
      <c r="L2" s="3">
        <v>0</v>
      </c>
      <c r="O2" s="3" t="s">
        <v>36</v>
      </c>
      <c r="R2" s="3" t="s">
        <v>527</v>
      </c>
    </row>
    <row r="3" spans="1:18">
      <c r="A3" s="4" t="s">
        <v>528</v>
      </c>
      <c r="C3" s="4" t="s">
        <v>525</v>
      </c>
      <c r="G3" s="3">
        <v>1000</v>
      </c>
      <c r="H3" s="4" t="s">
        <v>529</v>
      </c>
      <c r="J3" s="3">
        <v>0</v>
      </c>
      <c r="L3" s="3">
        <v>0</v>
      </c>
      <c r="O3" s="4" t="s">
        <v>36</v>
      </c>
      <c r="R3" s="4" t="s">
        <v>530</v>
      </c>
    </row>
    <row r="4" spans="1:18">
      <c r="A4" s="3" t="s">
        <v>531</v>
      </c>
      <c r="C4" s="3" t="s">
        <v>525</v>
      </c>
      <c r="G4" s="3">
        <v>1000</v>
      </c>
      <c r="H4" s="3" t="s">
        <v>532</v>
      </c>
      <c r="J4" s="3">
        <v>0</v>
      </c>
      <c r="L4" s="3">
        <v>0</v>
      </c>
      <c r="O4" s="3" t="s">
        <v>36</v>
      </c>
      <c r="R4" s="3" t="s">
        <v>533</v>
      </c>
    </row>
    <row r="5" spans="1:18">
      <c r="A5" s="4" t="s">
        <v>534</v>
      </c>
      <c r="C5" s="4" t="s">
        <v>525</v>
      </c>
      <c r="G5" s="3">
        <v>500</v>
      </c>
      <c r="H5" s="4" t="s">
        <v>535</v>
      </c>
      <c r="J5" s="3">
        <v>0</v>
      </c>
      <c r="L5" s="3">
        <v>0</v>
      </c>
      <c r="O5" s="4" t="s">
        <v>36</v>
      </c>
      <c r="R5" s="4" t="s">
        <v>536</v>
      </c>
    </row>
    <row r="6" spans="1:18">
      <c r="A6" s="3" t="s">
        <v>537</v>
      </c>
      <c r="C6" s="3" t="s">
        <v>525</v>
      </c>
      <c r="G6" s="3">
        <v>1000</v>
      </c>
      <c r="H6" s="3" t="s">
        <v>538</v>
      </c>
      <c r="J6" s="3">
        <v>0</v>
      </c>
      <c r="L6" s="3">
        <v>0</v>
      </c>
      <c r="O6" s="3" t="s">
        <v>36</v>
      </c>
      <c r="R6" s="3" t="s">
        <v>539</v>
      </c>
    </row>
    <row r="7" spans="1:18">
      <c r="A7" s="4" t="s">
        <v>540</v>
      </c>
      <c r="C7" s="4" t="s">
        <v>525</v>
      </c>
      <c r="G7" s="3">
        <v>2000</v>
      </c>
      <c r="H7" s="4" t="s">
        <v>541</v>
      </c>
      <c r="J7" s="3">
        <v>0</v>
      </c>
      <c r="L7" s="3">
        <v>0</v>
      </c>
      <c r="O7" s="4" t="s">
        <v>36</v>
      </c>
      <c r="R7" s="4" t="s">
        <v>542</v>
      </c>
    </row>
    <row r="8" spans="1:18">
      <c r="A8" s="3" t="s">
        <v>543</v>
      </c>
      <c r="C8" s="3" t="s">
        <v>525</v>
      </c>
      <c r="G8" s="3">
        <v>1000</v>
      </c>
      <c r="H8" s="3" t="s">
        <v>544</v>
      </c>
      <c r="J8" s="3">
        <v>0</v>
      </c>
      <c r="L8" s="3">
        <v>0</v>
      </c>
      <c r="O8" s="3" t="s">
        <v>36</v>
      </c>
      <c r="R8" s="3" t="s">
        <v>545</v>
      </c>
    </row>
    <row r="9" spans="1:18">
      <c r="A9" s="4" t="s">
        <v>546</v>
      </c>
      <c r="C9" s="4" t="s">
        <v>525</v>
      </c>
      <c r="G9" s="3">
        <v>500</v>
      </c>
      <c r="H9" s="4" t="s">
        <v>547</v>
      </c>
      <c r="J9" s="3">
        <v>0</v>
      </c>
      <c r="L9" s="3">
        <v>0</v>
      </c>
      <c r="O9" s="4" t="s">
        <v>36</v>
      </c>
      <c r="R9" s="4" t="s">
        <v>548</v>
      </c>
    </row>
    <row r="10" spans="1:18">
      <c r="A10" s="3" t="s">
        <v>549</v>
      </c>
      <c r="C10" s="3" t="s">
        <v>525</v>
      </c>
      <c r="G10" s="3">
        <v>1000</v>
      </c>
      <c r="H10" s="3" t="s">
        <v>550</v>
      </c>
      <c r="J10" s="3">
        <v>0</v>
      </c>
      <c r="L10" s="3">
        <v>0</v>
      </c>
      <c r="O10" s="3" t="s">
        <v>36</v>
      </c>
      <c r="R10" s="3" t="s">
        <v>551</v>
      </c>
    </row>
    <row r="11" spans="1:18">
      <c r="A11" s="4" t="s">
        <v>552</v>
      </c>
      <c r="C11" s="4" t="s">
        <v>525</v>
      </c>
      <c r="G11" s="3">
        <v>1000</v>
      </c>
      <c r="H11" s="4" t="s">
        <v>553</v>
      </c>
      <c r="J11" s="3">
        <v>0</v>
      </c>
      <c r="L11" s="3">
        <v>0</v>
      </c>
      <c r="O11" s="4" t="s">
        <v>36</v>
      </c>
      <c r="R11" s="4" t="s">
        <v>554</v>
      </c>
    </row>
    <row r="12" spans="1:18">
      <c r="A12" s="3" t="s">
        <v>555</v>
      </c>
      <c r="C12" s="3" t="s">
        <v>525</v>
      </c>
      <c r="G12" s="3">
        <v>1000</v>
      </c>
      <c r="H12" s="3" t="s">
        <v>556</v>
      </c>
      <c r="J12" s="3">
        <v>0</v>
      </c>
      <c r="L12" s="3">
        <v>0</v>
      </c>
      <c r="O12" s="3" t="s">
        <v>36</v>
      </c>
      <c r="R12" s="3" t="s">
        <v>557</v>
      </c>
    </row>
    <row r="13" spans="1:18">
      <c r="A13" s="4" t="s">
        <v>558</v>
      </c>
      <c r="C13" s="4" t="s">
        <v>525</v>
      </c>
      <c r="G13" s="3">
        <v>1000</v>
      </c>
      <c r="H13" s="4" t="s">
        <v>559</v>
      </c>
      <c r="J13" s="3">
        <v>0</v>
      </c>
      <c r="L13" s="3">
        <v>0</v>
      </c>
      <c r="O13" s="4" t="s">
        <v>36</v>
      </c>
      <c r="R13" s="4" t="s">
        <v>560</v>
      </c>
    </row>
    <row r="14" spans="1:18">
      <c r="A14" s="3" t="s">
        <v>561</v>
      </c>
      <c r="C14" s="3" t="s">
        <v>525</v>
      </c>
      <c r="G14" s="3">
        <v>2000</v>
      </c>
      <c r="H14" s="3" t="s">
        <v>562</v>
      </c>
      <c r="J14" s="3">
        <v>0</v>
      </c>
      <c r="L14" s="3">
        <v>0</v>
      </c>
      <c r="O14" s="3" t="s">
        <v>36</v>
      </c>
      <c r="R14" s="3" t="s">
        <v>563</v>
      </c>
    </row>
  </sheetData>
  <autoFilter ref="A1:R1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row r="2" spans="1:18">
      <c r="A2" s="3" t="s">
        <v>564</v>
      </c>
      <c r="G2" s="3">
        <v>900</v>
      </c>
      <c r="H2" s="3" t="s">
        <v>565</v>
      </c>
      <c r="J2" s="3">
        <v>0</v>
      </c>
      <c r="L2" s="3">
        <v>0</v>
      </c>
      <c r="O2" s="3" t="s">
        <v>36</v>
      </c>
      <c r="R2" s="3" t="s">
        <v>566</v>
      </c>
    </row>
    <row r="3" spans="1:18">
      <c r="A3" s="4" t="s">
        <v>567</v>
      </c>
      <c r="G3" s="3">
        <v>2000</v>
      </c>
      <c r="H3" s="4" t="s">
        <v>568</v>
      </c>
      <c r="J3" s="3">
        <v>0</v>
      </c>
      <c r="L3" s="3">
        <v>0</v>
      </c>
      <c r="O3" s="4" t="s">
        <v>36</v>
      </c>
      <c r="R3" s="4" t="s">
        <v>569</v>
      </c>
    </row>
    <row r="4" spans="1:18">
      <c r="A4" s="3" t="s">
        <v>570</v>
      </c>
      <c r="G4" s="3">
        <v>1200</v>
      </c>
      <c r="H4" s="3" t="s">
        <v>571</v>
      </c>
      <c r="J4" s="3">
        <v>0</v>
      </c>
      <c r="L4" s="3">
        <v>0</v>
      </c>
      <c r="O4" s="3" t="s">
        <v>36</v>
      </c>
      <c r="R4" s="3" t="s">
        <v>572</v>
      </c>
    </row>
    <row r="5" spans="1:18">
      <c r="A5" s="4" t="s">
        <v>573</v>
      </c>
      <c r="G5" s="3">
        <v>8000</v>
      </c>
      <c r="H5" s="4" t="s">
        <v>574</v>
      </c>
      <c r="J5" s="3">
        <v>0</v>
      </c>
      <c r="L5" s="3">
        <v>0</v>
      </c>
      <c r="O5" s="4" t="s">
        <v>36</v>
      </c>
      <c r="R5" s="4" t="s">
        <v>575</v>
      </c>
    </row>
    <row r="6" spans="1:18">
      <c r="A6" s="3" t="s">
        <v>576</v>
      </c>
      <c r="G6" s="3">
        <v>4000</v>
      </c>
      <c r="H6" s="3" t="s">
        <v>577</v>
      </c>
      <c r="J6" s="3">
        <v>0</v>
      </c>
      <c r="L6" s="3">
        <v>0</v>
      </c>
      <c r="O6" s="3" t="s">
        <v>36</v>
      </c>
      <c r="R6" s="3" t="s">
        <v>578</v>
      </c>
    </row>
    <row r="7" spans="1:18">
      <c r="A7" s="4" t="s">
        <v>579</v>
      </c>
      <c r="G7" s="3">
        <v>1000</v>
      </c>
      <c r="H7" s="4" t="s">
        <v>580</v>
      </c>
      <c r="J7" s="3">
        <v>0</v>
      </c>
      <c r="L7" s="3">
        <v>0</v>
      </c>
      <c r="O7" s="4" t="s">
        <v>36</v>
      </c>
      <c r="R7" s="4" t="s">
        <v>581</v>
      </c>
    </row>
    <row r="8" spans="1:18">
      <c r="A8" s="3" t="s">
        <v>582</v>
      </c>
      <c r="G8" s="3">
        <v>10000</v>
      </c>
      <c r="H8" s="3" t="s">
        <v>583</v>
      </c>
      <c r="J8" s="3">
        <v>0</v>
      </c>
      <c r="L8" s="3">
        <v>0</v>
      </c>
      <c r="O8" s="3" t="s">
        <v>36</v>
      </c>
      <c r="R8" s="3" t="s">
        <v>584</v>
      </c>
    </row>
    <row r="9" spans="1:18">
      <c r="A9" s="4" t="s">
        <v>585</v>
      </c>
      <c r="G9" s="3">
        <v>6000</v>
      </c>
      <c r="H9" s="4" t="s">
        <v>586</v>
      </c>
      <c r="J9" s="3">
        <v>0</v>
      </c>
      <c r="L9" s="3">
        <v>0</v>
      </c>
      <c r="O9" s="4" t="s">
        <v>36</v>
      </c>
      <c r="R9" s="4" t="s">
        <v>587</v>
      </c>
    </row>
  </sheetData>
  <autoFilter ref="A1:R9"/>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sheetData>
  <autoFilter ref="A1:R2"/>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7.7109375" customWidth="1"/>
    <col min="2" max="3" width="20.7109375" customWidth="1"/>
    <col min="4" max="7" width="15.7109375" customWidth="1"/>
    <col min="8" max="8" width="90.7109375" customWidth="1"/>
    <col min="9" max="15" width="18.7109375" customWidth="1"/>
    <col min="16" max="17" width="65.7109375" customWidth="1"/>
    <col min="18" max="18" width="68.7109375" customWidth="1"/>
  </cols>
  <sheetData>
    <row r="1" spans="1:18" ht="32.25"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row>
  </sheetData>
  <autoFilter ref="A1:R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187"/>
  <sheetViews>
    <sheetView workbookViewId="0">
      <pane ySplit="1" topLeftCell="A2" activePane="bottomLeft" state="frozen"/>
      <selection pane="bottomLeft"/>
    </sheetView>
  </sheetViews>
  <sheetFormatPr defaultRowHeight="15"/>
  <cols>
    <col min="1" max="1" width="45.7109375" customWidth="1"/>
    <col min="2" max="6" width="22.7109375" customWidth="1"/>
  </cols>
  <sheetData>
    <row r="1" spans="1:6">
      <c r="A1" s="2" t="s">
        <v>16</v>
      </c>
      <c r="B1" s="2" t="s">
        <v>15</v>
      </c>
      <c r="C1" s="2" t="s">
        <v>30</v>
      </c>
      <c r="D1" s="2" t="s">
        <v>588</v>
      </c>
      <c r="E1" s="2" t="s">
        <v>29</v>
      </c>
      <c r="F1" s="2" t="s">
        <v>589</v>
      </c>
    </row>
    <row r="2" spans="1:6">
      <c r="A2" t="s">
        <v>34</v>
      </c>
      <c r="B2" t="s">
        <v>3</v>
      </c>
      <c r="C2" t="s">
        <v>36</v>
      </c>
      <c r="F2" s="5">
        <f>IF(D2="","",D2+IF(E2="",0,E2))</f>
        <v/>
      </c>
    </row>
    <row r="3" spans="1:6">
      <c r="A3" t="s">
        <v>38</v>
      </c>
      <c r="B3" t="s">
        <v>3</v>
      </c>
      <c r="C3" t="s">
        <v>36</v>
      </c>
      <c r="F3" s="5">
        <f>IF(D3="","",D3+IF(E3="",0,E3))</f>
        <v/>
      </c>
    </row>
    <row r="4" spans="1:6">
      <c r="A4" t="s">
        <v>40</v>
      </c>
      <c r="B4" t="s">
        <v>3</v>
      </c>
      <c r="C4" t="s">
        <v>36</v>
      </c>
      <c r="F4" s="5">
        <f>IF(D4="","",D4+IF(E4="",0,E4))</f>
        <v/>
      </c>
    </row>
    <row r="5" spans="1:6">
      <c r="A5" t="s">
        <v>43</v>
      </c>
      <c r="B5" t="s">
        <v>3</v>
      </c>
      <c r="C5" t="s">
        <v>36</v>
      </c>
      <c r="F5" s="5">
        <f>IF(D5="","",D5+IF(E5="",0,E5))</f>
        <v/>
      </c>
    </row>
    <row r="6" spans="1:6">
      <c r="A6" t="s">
        <v>46</v>
      </c>
      <c r="B6" t="s">
        <v>3</v>
      </c>
      <c r="C6" t="s">
        <v>36</v>
      </c>
      <c r="F6" s="5">
        <f>IF(D6="","",D6+IF(E6="",0,E6))</f>
        <v/>
      </c>
    </row>
    <row r="7" spans="1:6">
      <c r="A7" t="s">
        <v>48</v>
      </c>
      <c r="B7" t="s">
        <v>3</v>
      </c>
      <c r="C7" t="s">
        <v>36</v>
      </c>
      <c r="F7" s="5">
        <f>IF(D7="","",D7+IF(E7="",0,E7))</f>
        <v/>
      </c>
    </row>
    <row r="8" spans="1:6">
      <c r="A8" t="s">
        <v>50</v>
      </c>
      <c r="B8" t="s">
        <v>3</v>
      </c>
      <c r="C8" t="s">
        <v>36</v>
      </c>
      <c r="F8" s="5">
        <f>IF(D8="","",D8+IF(E8="",0,E8))</f>
        <v/>
      </c>
    </row>
    <row r="9" spans="1:6">
      <c r="A9" t="s">
        <v>53</v>
      </c>
      <c r="B9" t="s">
        <v>3</v>
      </c>
      <c r="C9" t="s">
        <v>36</v>
      </c>
      <c r="F9" s="5">
        <f>IF(D9="","",D9+IF(E9="",0,E9))</f>
        <v/>
      </c>
    </row>
    <row r="10" spans="1:6">
      <c r="A10" t="s">
        <v>56</v>
      </c>
      <c r="B10" t="s">
        <v>3</v>
      </c>
      <c r="C10" t="s">
        <v>36</v>
      </c>
      <c r="F10" s="5">
        <f>IF(D10="","",D10+IF(E10="",0,E10))</f>
        <v/>
      </c>
    </row>
    <row r="11" spans="1:6">
      <c r="A11" t="s">
        <v>58</v>
      </c>
      <c r="B11" t="s">
        <v>3</v>
      </c>
      <c r="C11" t="s">
        <v>36</v>
      </c>
      <c r="F11" s="5">
        <f>IF(D11="","",D11+IF(E11="",0,E11))</f>
        <v/>
      </c>
    </row>
    <row r="12" spans="1:6">
      <c r="A12" t="s">
        <v>61</v>
      </c>
      <c r="B12" t="s">
        <v>3</v>
      </c>
      <c r="C12" t="s">
        <v>36</v>
      </c>
      <c r="F12" s="5">
        <f>IF(D12="","",D12+IF(E12="",0,E12))</f>
        <v/>
      </c>
    </row>
    <row r="13" spans="1:6">
      <c r="A13" t="s">
        <v>63</v>
      </c>
      <c r="B13" t="s">
        <v>3</v>
      </c>
      <c r="C13" t="s">
        <v>36</v>
      </c>
      <c r="F13" s="5">
        <f>IF(D13="","",D13+IF(E13="",0,E13))</f>
        <v/>
      </c>
    </row>
    <row r="14" spans="1:6">
      <c r="A14" t="s">
        <v>65</v>
      </c>
      <c r="B14" t="s">
        <v>3</v>
      </c>
      <c r="C14" t="s">
        <v>36</v>
      </c>
      <c r="F14" s="5">
        <f>IF(D14="","",D14+IF(E14="",0,E14))</f>
        <v/>
      </c>
    </row>
    <row r="15" spans="1:6">
      <c r="A15" t="s">
        <v>67</v>
      </c>
      <c r="B15" t="s">
        <v>3</v>
      </c>
      <c r="C15" t="s">
        <v>36</v>
      </c>
      <c r="F15" s="5">
        <f>IF(D15="","",D15+IF(E15="",0,E15))</f>
        <v/>
      </c>
    </row>
    <row r="16" spans="1:6">
      <c r="A16" t="s">
        <v>69</v>
      </c>
      <c r="B16" t="s">
        <v>3</v>
      </c>
      <c r="C16" t="s">
        <v>36</v>
      </c>
      <c r="F16" s="5">
        <f>IF(D16="","",D16+IF(E16="",0,E16))</f>
        <v/>
      </c>
    </row>
    <row r="17" spans="1:6">
      <c r="A17" t="s">
        <v>72</v>
      </c>
      <c r="B17" t="s">
        <v>3</v>
      </c>
      <c r="C17" t="s">
        <v>36</v>
      </c>
      <c r="F17" s="5">
        <f>IF(D17="","",D17+IF(E17="",0,E17))</f>
        <v/>
      </c>
    </row>
    <row r="18" spans="1:6">
      <c r="A18" t="s">
        <v>74</v>
      </c>
      <c r="B18" t="s">
        <v>3</v>
      </c>
      <c r="C18" t="s">
        <v>36</v>
      </c>
      <c r="F18" s="5">
        <f>IF(D18="","",D18+IF(E18="",0,E18))</f>
        <v/>
      </c>
    </row>
    <row r="19" spans="1:6">
      <c r="A19" t="s">
        <v>76</v>
      </c>
      <c r="B19" t="s">
        <v>3</v>
      </c>
      <c r="C19" t="s">
        <v>36</v>
      </c>
      <c r="F19" s="5">
        <f>IF(D19="","",D19+IF(E19="",0,E19))</f>
        <v/>
      </c>
    </row>
    <row r="20" spans="1:6">
      <c r="A20" t="s">
        <v>78</v>
      </c>
      <c r="B20" t="s">
        <v>3</v>
      </c>
      <c r="C20" t="s">
        <v>36</v>
      </c>
      <c r="F20" s="5">
        <f>IF(D20="","",D20+IF(E20="",0,E20))</f>
        <v/>
      </c>
    </row>
    <row r="21" spans="1:6">
      <c r="A21" t="s">
        <v>81</v>
      </c>
      <c r="B21" t="s">
        <v>3</v>
      </c>
      <c r="C21" t="s">
        <v>36</v>
      </c>
      <c r="F21" s="5">
        <f>IF(D21="","",D21+IF(E21="",0,E21))</f>
        <v/>
      </c>
    </row>
    <row r="22" spans="1:6">
      <c r="A22" t="s">
        <v>84</v>
      </c>
      <c r="B22" t="s">
        <v>3</v>
      </c>
      <c r="C22" t="s">
        <v>36</v>
      </c>
      <c r="F22" s="5">
        <f>IF(D22="","",D22+IF(E22="",0,E22))</f>
        <v/>
      </c>
    </row>
    <row r="23" spans="1:6">
      <c r="A23" t="s">
        <v>86</v>
      </c>
      <c r="B23" t="s">
        <v>3</v>
      </c>
      <c r="C23" t="s">
        <v>36</v>
      </c>
      <c r="F23" s="5">
        <f>IF(D23="","",D23+IF(E23="",0,E23))</f>
        <v/>
      </c>
    </row>
    <row r="24" spans="1:6">
      <c r="A24" t="s">
        <v>88</v>
      </c>
      <c r="B24" t="s">
        <v>3</v>
      </c>
      <c r="C24" t="s">
        <v>36</v>
      </c>
      <c r="F24" s="5">
        <f>IF(D24="","",D24+IF(E24="",0,E24))</f>
        <v/>
      </c>
    </row>
    <row r="25" spans="1:6">
      <c r="A25" t="s">
        <v>90</v>
      </c>
      <c r="B25" t="s">
        <v>3</v>
      </c>
      <c r="C25" t="s">
        <v>36</v>
      </c>
      <c r="F25" s="5">
        <f>IF(D25="","",D25+IF(E25="",0,E25))</f>
        <v/>
      </c>
    </row>
    <row r="26" spans="1:6">
      <c r="A26" t="s">
        <v>94</v>
      </c>
      <c r="B26" t="s">
        <v>3</v>
      </c>
      <c r="C26" t="s">
        <v>36</v>
      </c>
      <c r="F26" s="5">
        <f>IF(D26="","",D26+IF(E26="",0,E26))</f>
        <v/>
      </c>
    </row>
    <row r="27" spans="1:6">
      <c r="A27" t="s">
        <v>96</v>
      </c>
      <c r="B27" t="s">
        <v>3</v>
      </c>
      <c r="C27" t="s">
        <v>36</v>
      </c>
      <c r="F27" s="5">
        <f>IF(D27="","",D27+IF(E27="",0,E27))</f>
        <v/>
      </c>
    </row>
    <row r="28" spans="1:6">
      <c r="A28" t="s">
        <v>98</v>
      </c>
      <c r="B28" t="s">
        <v>3</v>
      </c>
      <c r="C28" t="s">
        <v>36</v>
      </c>
      <c r="F28" s="5">
        <f>IF(D28="","",D28+IF(E28="",0,E28))</f>
        <v/>
      </c>
    </row>
    <row r="29" spans="1:6">
      <c r="A29" t="s">
        <v>100</v>
      </c>
      <c r="B29" t="s">
        <v>3</v>
      </c>
      <c r="C29" t="s">
        <v>36</v>
      </c>
      <c r="F29" s="5">
        <f>IF(D29="","",D29+IF(E29="",0,E29))</f>
        <v/>
      </c>
    </row>
    <row r="30" spans="1:6">
      <c r="A30" t="s">
        <v>102</v>
      </c>
      <c r="B30" t="s">
        <v>3</v>
      </c>
      <c r="C30" t="s">
        <v>36</v>
      </c>
      <c r="F30" s="5">
        <f>IF(D30="","",D30+IF(E30="",0,E30))</f>
        <v/>
      </c>
    </row>
    <row r="31" spans="1:6">
      <c r="A31" t="s">
        <v>104</v>
      </c>
      <c r="B31" t="s">
        <v>3</v>
      </c>
      <c r="C31" t="s">
        <v>36</v>
      </c>
      <c r="F31" s="5">
        <f>IF(D31="","",D31+IF(E31="",0,E31))</f>
        <v/>
      </c>
    </row>
    <row r="32" spans="1:6">
      <c r="A32" t="s">
        <v>106</v>
      </c>
      <c r="B32" t="s">
        <v>3</v>
      </c>
      <c r="C32" t="s">
        <v>36</v>
      </c>
      <c r="F32" s="5">
        <f>IF(D32="","",D32+IF(E32="",0,E32))</f>
        <v/>
      </c>
    </row>
    <row r="33" spans="1:6">
      <c r="A33" t="s">
        <v>110</v>
      </c>
      <c r="B33" t="s">
        <v>3</v>
      </c>
      <c r="C33" t="s">
        <v>36</v>
      </c>
      <c r="F33" s="5">
        <f>IF(D33="","",D33+IF(E33="",0,E33))</f>
        <v/>
      </c>
    </row>
    <row r="34" spans="1:6">
      <c r="A34" t="s">
        <v>112</v>
      </c>
      <c r="B34" t="s">
        <v>3</v>
      </c>
      <c r="C34" t="s">
        <v>36</v>
      </c>
      <c r="F34" s="5">
        <f>IF(D34="","",D34+IF(E34="",0,E34))</f>
        <v/>
      </c>
    </row>
    <row r="35" spans="1:6">
      <c r="A35" t="s">
        <v>114</v>
      </c>
      <c r="B35" t="s">
        <v>3</v>
      </c>
      <c r="C35" t="s">
        <v>36</v>
      </c>
      <c r="F35" s="5">
        <f>IF(D35="","",D35+IF(E35="",0,E35))</f>
        <v/>
      </c>
    </row>
    <row r="36" spans="1:6">
      <c r="A36" t="s">
        <v>117</v>
      </c>
      <c r="B36" t="s">
        <v>3</v>
      </c>
      <c r="C36" t="s">
        <v>36</v>
      </c>
      <c r="F36" s="5">
        <f>IF(D36="","",D36+IF(E36="",0,E36))</f>
        <v/>
      </c>
    </row>
    <row r="37" spans="1:6">
      <c r="A37" t="s">
        <v>120</v>
      </c>
      <c r="B37" t="s">
        <v>3</v>
      </c>
      <c r="C37" t="s">
        <v>36</v>
      </c>
      <c r="F37" s="5">
        <f>IF(D37="","",D37+IF(E37="",0,E37))</f>
        <v/>
      </c>
    </row>
    <row r="38" spans="1:6">
      <c r="A38" t="s">
        <v>123</v>
      </c>
      <c r="B38" t="s">
        <v>3</v>
      </c>
      <c r="C38" t="s">
        <v>36</v>
      </c>
      <c r="F38" s="5">
        <f>IF(D38="","",D38+IF(E38="",0,E38))</f>
        <v/>
      </c>
    </row>
    <row r="39" spans="1:6">
      <c r="A39" t="s">
        <v>126</v>
      </c>
      <c r="B39" t="s">
        <v>3</v>
      </c>
      <c r="C39" t="s">
        <v>36</v>
      </c>
      <c r="F39" s="5">
        <f>IF(D39="","",D39+IF(E39="",0,E39))</f>
        <v/>
      </c>
    </row>
    <row r="40" spans="1:6">
      <c r="A40" t="s">
        <v>128</v>
      </c>
      <c r="B40" t="s">
        <v>3</v>
      </c>
      <c r="C40" t="s">
        <v>36</v>
      </c>
      <c r="F40" s="5">
        <f>IF(D40="","",D40+IF(E40="",0,E40))</f>
        <v/>
      </c>
    </row>
    <row r="41" spans="1:6">
      <c r="A41" t="s">
        <v>130</v>
      </c>
      <c r="B41" t="s">
        <v>3</v>
      </c>
      <c r="C41" t="s">
        <v>36</v>
      </c>
      <c r="F41" s="5">
        <f>IF(D41="","",D41+IF(E41="",0,E41))</f>
        <v/>
      </c>
    </row>
    <row r="42" spans="1:6">
      <c r="A42" t="s">
        <v>133</v>
      </c>
      <c r="B42" t="s">
        <v>3</v>
      </c>
      <c r="C42" t="s">
        <v>36</v>
      </c>
      <c r="F42" s="5">
        <f>IF(D42="","",D42+IF(E42="",0,E42))</f>
        <v/>
      </c>
    </row>
    <row r="43" spans="1:6">
      <c r="A43" t="s">
        <v>135</v>
      </c>
      <c r="B43" t="s">
        <v>3</v>
      </c>
      <c r="C43" t="s">
        <v>36</v>
      </c>
      <c r="F43" s="5">
        <f>IF(D43="","",D43+IF(E43="",0,E43))</f>
        <v/>
      </c>
    </row>
    <row r="44" spans="1:6">
      <c r="A44" t="s">
        <v>137</v>
      </c>
      <c r="B44" t="s">
        <v>3</v>
      </c>
      <c r="C44" t="s">
        <v>36</v>
      </c>
      <c r="F44" s="5">
        <f>IF(D44="","",D44+IF(E44="",0,E44))</f>
        <v/>
      </c>
    </row>
    <row r="45" spans="1:6">
      <c r="A45" t="s">
        <v>140</v>
      </c>
      <c r="B45" t="s">
        <v>3</v>
      </c>
      <c r="C45" t="s">
        <v>36</v>
      </c>
      <c r="F45" s="5">
        <f>IF(D45="","",D45+IF(E45="",0,E45))</f>
        <v/>
      </c>
    </row>
    <row r="46" spans="1:6">
      <c r="A46" t="s">
        <v>142</v>
      </c>
      <c r="B46" t="s">
        <v>3</v>
      </c>
      <c r="C46" t="s">
        <v>36</v>
      </c>
      <c r="F46" s="5">
        <f>IF(D46="","",D46+IF(E46="",0,E46))</f>
        <v/>
      </c>
    </row>
    <row r="47" spans="1:6">
      <c r="A47" t="s">
        <v>144</v>
      </c>
      <c r="B47" t="s">
        <v>3</v>
      </c>
      <c r="C47" t="s">
        <v>36</v>
      </c>
      <c r="F47" s="5">
        <f>IF(D47="","",D47+IF(E47="",0,E47))</f>
        <v/>
      </c>
    </row>
    <row r="48" spans="1:6">
      <c r="A48" t="s">
        <v>146</v>
      </c>
      <c r="B48" t="s">
        <v>4</v>
      </c>
      <c r="C48" t="s">
        <v>36</v>
      </c>
      <c r="F48" s="5">
        <f>IF(D48="","",D48+IF(E48="",0,E48))</f>
        <v/>
      </c>
    </row>
    <row r="49" spans="1:6">
      <c r="A49" t="s">
        <v>152</v>
      </c>
      <c r="B49" t="s">
        <v>4</v>
      </c>
      <c r="C49" t="s">
        <v>36</v>
      </c>
      <c r="F49" s="5">
        <f>IF(D49="","",D49+IF(E49="",0,E49))</f>
        <v/>
      </c>
    </row>
    <row r="50" spans="1:6">
      <c r="A50" t="s">
        <v>156</v>
      </c>
      <c r="B50" t="s">
        <v>4</v>
      </c>
      <c r="C50" t="s">
        <v>36</v>
      </c>
      <c r="F50" s="5">
        <f>IF(D50="","",D50+IF(E50="",0,E50))</f>
        <v/>
      </c>
    </row>
    <row r="51" spans="1:6">
      <c r="A51" t="s">
        <v>159</v>
      </c>
      <c r="B51" t="s">
        <v>4</v>
      </c>
      <c r="C51" t="s">
        <v>36</v>
      </c>
      <c r="F51" s="5">
        <f>IF(D51="","",D51+IF(E51="",0,E51))</f>
        <v/>
      </c>
    </row>
    <row r="52" spans="1:6">
      <c r="A52" t="s">
        <v>162</v>
      </c>
      <c r="B52" t="s">
        <v>4</v>
      </c>
      <c r="C52" t="s">
        <v>36</v>
      </c>
      <c r="F52" s="5">
        <f>IF(D52="","",D52+IF(E52="",0,E52))</f>
        <v/>
      </c>
    </row>
    <row r="53" spans="1:6">
      <c r="A53" t="s">
        <v>165</v>
      </c>
      <c r="B53" t="s">
        <v>4</v>
      </c>
      <c r="C53" t="s">
        <v>36</v>
      </c>
      <c r="F53" s="5">
        <f>IF(D53="","",D53+IF(E53="",0,E53))</f>
        <v/>
      </c>
    </row>
    <row r="54" spans="1:6">
      <c r="A54" t="s">
        <v>170</v>
      </c>
      <c r="B54" t="s">
        <v>4</v>
      </c>
      <c r="C54" t="s">
        <v>36</v>
      </c>
      <c r="F54" s="5">
        <f>IF(D54="","",D54+IF(E54="",0,E54))</f>
        <v/>
      </c>
    </row>
    <row r="55" spans="1:6">
      <c r="A55" t="s">
        <v>172</v>
      </c>
      <c r="B55" t="s">
        <v>4</v>
      </c>
      <c r="C55" t="s">
        <v>174</v>
      </c>
      <c r="F55" s="5">
        <f>IF(D55="","",D55+IF(E55="",0,E55))</f>
        <v/>
      </c>
    </row>
    <row r="56" spans="1:6">
      <c r="A56" t="s">
        <v>176</v>
      </c>
      <c r="B56" t="s">
        <v>4</v>
      </c>
      <c r="C56" t="s">
        <v>36</v>
      </c>
      <c r="F56" s="5">
        <f>IF(D56="","",D56+IF(E56="",0,E56))</f>
        <v/>
      </c>
    </row>
    <row r="57" spans="1:6">
      <c r="A57" t="s">
        <v>178</v>
      </c>
      <c r="B57" t="s">
        <v>4</v>
      </c>
      <c r="C57" t="s">
        <v>36</v>
      </c>
      <c r="F57" s="5">
        <f>IF(D57="","",D57+IF(E57="",0,E57))</f>
        <v/>
      </c>
    </row>
    <row r="58" spans="1:6">
      <c r="A58" t="s">
        <v>180</v>
      </c>
      <c r="B58" t="s">
        <v>4</v>
      </c>
      <c r="C58" t="s">
        <v>36</v>
      </c>
      <c r="F58" s="5">
        <f>IF(D58="","",D58+IF(E58="",0,E58))</f>
        <v/>
      </c>
    </row>
    <row r="59" spans="1:6">
      <c r="A59" t="s">
        <v>182</v>
      </c>
      <c r="B59" t="s">
        <v>4</v>
      </c>
      <c r="C59" t="s">
        <v>36</v>
      </c>
      <c r="F59" s="5">
        <f>IF(D59="","",D59+IF(E59="",0,E59))</f>
        <v/>
      </c>
    </row>
    <row r="60" spans="1:6">
      <c r="A60" t="s">
        <v>184</v>
      </c>
      <c r="B60" t="s">
        <v>4</v>
      </c>
      <c r="C60" t="s">
        <v>36</v>
      </c>
      <c r="F60" s="5">
        <f>IF(D60="","",D60+IF(E60="",0,E60))</f>
        <v/>
      </c>
    </row>
    <row r="61" spans="1:6">
      <c r="A61" t="s">
        <v>186</v>
      </c>
      <c r="B61" t="s">
        <v>4</v>
      </c>
      <c r="C61" t="s">
        <v>36</v>
      </c>
      <c r="F61" s="5">
        <f>IF(D61="","",D61+IF(E61="",0,E61))</f>
        <v/>
      </c>
    </row>
    <row r="62" spans="1:6">
      <c r="A62" t="s">
        <v>189</v>
      </c>
      <c r="B62" t="s">
        <v>4</v>
      </c>
      <c r="C62" t="s">
        <v>36</v>
      </c>
      <c r="F62" s="5">
        <f>IF(D62="","",D62+IF(E62="",0,E62))</f>
        <v/>
      </c>
    </row>
    <row r="63" spans="1:6">
      <c r="A63" t="s">
        <v>191</v>
      </c>
      <c r="B63" t="s">
        <v>4</v>
      </c>
      <c r="C63" t="s">
        <v>36</v>
      </c>
      <c r="F63" s="5">
        <f>IF(D63="","",D63+IF(E63="",0,E63))</f>
        <v/>
      </c>
    </row>
    <row r="64" spans="1:6">
      <c r="A64" t="s">
        <v>193</v>
      </c>
      <c r="B64" t="s">
        <v>4</v>
      </c>
      <c r="C64" t="s">
        <v>36</v>
      </c>
      <c r="F64" s="5">
        <f>IF(D64="","",D64+IF(E64="",0,E64))</f>
        <v/>
      </c>
    </row>
    <row r="65" spans="1:6">
      <c r="A65" t="s">
        <v>196</v>
      </c>
      <c r="B65" t="s">
        <v>4</v>
      </c>
      <c r="C65" t="s">
        <v>36</v>
      </c>
      <c r="F65" s="5">
        <f>IF(D65="","",D65+IF(E65="",0,E65))</f>
        <v/>
      </c>
    </row>
    <row r="66" spans="1:6">
      <c r="A66" t="s">
        <v>199</v>
      </c>
      <c r="B66" t="s">
        <v>4</v>
      </c>
      <c r="C66" t="s">
        <v>36</v>
      </c>
      <c r="F66" s="5">
        <f>IF(D66="","",D66+IF(E66="",0,E66))</f>
        <v/>
      </c>
    </row>
    <row r="67" spans="1:6">
      <c r="A67" t="s">
        <v>202</v>
      </c>
      <c r="B67" t="s">
        <v>4</v>
      </c>
      <c r="C67" t="s">
        <v>36</v>
      </c>
      <c r="F67" s="5">
        <f>IF(D67="","",D67+IF(E67="",0,E67))</f>
        <v/>
      </c>
    </row>
    <row r="68" spans="1:6">
      <c r="A68" t="s">
        <v>206</v>
      </c>
      <c r="B68" t="s">
        <v>4</v>
      </c>
      <c r="C68" t="s">
        <v>36</v>
      </c>
      <c r="F68" s="5">
        <f>IF(D68="","",D68+IF(E68="",0,E68))</f>
        <v/>
      </c>
    </row>
    <row r="69" spans="1:6">
      <c r="A69" t="s">
        <v>208</v>
      </c>
      <c r="B69" t="s">
        <v>4</v>
      </c>
      <c r="C69" t="s">
        <v>36</v>
      </c>
      <c r="F69" s="5">
        <f>IF(D69="","",D69+IF(E69="",0,E69))</f>
        <v/>
      </c>
    </row>
    <row r="70" spans="1:6">
      <c r="A70" t="s">
        <v>212</v>
      </c>
      <c r="B70" t="s">
        <v>4</v>
      </c>
      <c r="C70" t="s">
        <v>36</v>
      </c>
      <c r="F70" s="5">
        <f>IF(D70="","",D70+IF(E70="",0,E70))</f>
        <v/>
      </c>
    </row>
    <row r="71" spans="1:6">
      <c r="A71" t="s">
        <v>215</v>
      </c>
      <c r="B71" t="s">
        <v>4</v>
      </c>
      <c r="C71" t="s">
        <v>36</v>
      </c>
      <c r="F71" s="5">
        <f>IF(D71="","",D71+IF(E71="",0,E71))</f>
        <v/>
      </c>
    </row>
    <row r="72" spans="1:6">
      <c r="A72" t="s">
        <v>218</v>
      </c>
      <c r="B72" t="s">
        <v>4</v>
      </c>
      <c r="C72" t="s">
        <v>36</v>
      </c>
      <c r="F72" s="5">
        <f>IF(D72="","",D72+IF(E72="",0,E72))</f>
        <v/>
      </c>
    </row>
    <row r="73" spans="1:6">
      <c r="A73" t="s">
        <v>220</v>
      </c>
      <c r="B73" t="s">
        <v>4</v>
      </c>
      <c r="C73" t="s">
        <v>36</v>
      </c>
      <c r="F73" s="5">
        <f>IF(D73="","",D73+IF(E73="",0,E73))</f>
        <v/>
      </c>
    </row>
    <row r="74" spans="1:6">
      <c r="A74" t="s">
        <v>223</v>
      </c>
      <c r="B74" t="s">
        <v>4</v>
      </c>
      <c r="C74" t="s">
        <v>36</v>
      </c>
      <c r="F74" s="5">
        <f>IF(D74="","",D74+IF(E74="",0,E74))</f>
        <v/>
      </c>
    </row>
    <row r="75" spans="1:6">
      <c r="A75" t="s">
        <v>226</v>
      </c>
      <c r="B75" t="s">
        <v>4</v>
      </c>
      <c r="C75" t="s">
        <v>36</v>
      </c>
      <c r="F75" s="5">
        <f>IF(D75="","",D75+IF(E75="",0,E75))</f>
        <v/>
      </c>
    </row>
    <row r="76" spans="1:6">
      <c r="A76" t="s">
        <v>229</v>
      </c>
      <c r="B76" t="s">
        <v>4</v>
      </c>
      <c r="C76" t="s">
        <v>36</v>
      </c>
      <c r="F76" s="5">
        <f>IF(D76="","",D76+IF(E76="",0,E76))</f>
        <v/>
      </c>
    </row>
    <row r="77" spans="1:6">
      <c r="A77" t="s">
        <v>232</v>
      </c>
      <c r="B77" t="s">
        <v>4</v>
      </c>
      <c r="C77" t="s">
        <v>36</v>
      </c>
      <c r="F77" s="5">
        <f>IF(D77="","",D77+IF(E77="",0,E77))</f>
        <v/>
      </c>
    </row>
    <row r="78" spans="1:6">
      <c r="A78" t="s">
        <v>236</v>
      </c>
      <c r="B78" t="s">
        <v>4</v>
      </c>
      <c r="C78" t="s">
        <v>36</v>
      </c>
      <c r="F78" s="5">
        <f>IF(D78="","",D78+IF(E78="",0,E78))</f>
        <v/>
      </c>
    </row>
    <row r="79" spans="1:6">
      <c r="A79" t="s">
        <v>240</v>
      </c>
      <c r="B79" t="s">
        <v>4</v>
      </c>
      <c r="C79" t="s">
        <v>36</v>
      </c>
      <c r="F79" s="5">
        <f>IF(D79="","",D79+IF(E79="",0,E79))</f>
        <v/>
      </c>
    </row>
    <row r="80" spans="1:6">
      <c r="A80" t="s">
        <v>242</v>
      </c>
      <c r="B80" t="s">
        <v>4</v>
      </c>
      <c r="C80" t="s">
        <v>36</v>
      </c>
      <c r="F80" s="5">
        <f>IF(D80="","",D80+IF(E80="",0,E80))</f>
        <v/>
      </c>
    </row>
    <row r="81" spans="1:6">
      <c r="A81" t="s">
        <v>245</v>
      </c>
      <c r="B81" t="s">
        <v>4</v>
      </c>
      <c r="C81" t="s">
        <v>36</v>
      </c>
      <c r="F81" s="5">
        <f>IF(D81="","",D81+IF(E81="",0,E81))</f>
        <v/>
      </c>
    </row>
    <row r="82" spans="1:6">
      <c r="A82" t="s">
        <v>248</v>
      </c>
      <c r="B82" t="s">
        <v>5</v>
      </c>
      <c r="C82" t="s">
        <v>36</v>
      </c>
      <c r="F82" s="5">
        <f>IF(D82="","",D82+IF(E82="",0,E82))</f>
        <v/>
      </c>
    </row>
    <row r="83" spans="1:6">
      <c r="A83" t="s">
        <v>253</v>
      </c>
      <c r="B83" t="s">
        <v>5</v>
      </c>
      <c r="C83" t="s">
        <v>36</v>
      </c>
      <c r="F83" s="5">
        <f>IF(D83="","",D83+IF(E83="",0,E83))</f>
        <v/>
      </c>
    </row>
    <row r="84" spans="1:6">
      <c r="A84" t="s">
        <v>258</v>
      </c>
      <c r="B84" t="s">
        <v>5</v>
      </c>
      <c r="C84" t="s">
        <v>36</v>
      </c>
      <c r="F84" s="5">
        <f>IF(D84="","",D84+IF(E84="",0,E84))</f>
        <v/>
      </c>
    </row>
    <row r="85" spans="1:6">
      <c r="A85" t="s">
        <v>261</v>
      </c>
      <c r="B85" t="s">
        <v>5</v>
      </c>
      <c r="C85" t="s">
        <v>36</v>
      </c>
      <c r="F85" s="5">
        <f>IF(D85="","",D85+IF(E85="",0,E85))</f>
        <v/>
      </c>
    </row>
    <row r="86" spans="1:6">
      <c r="A86" t="s">
        <v>265</v>
      </c>
      <c r="B86" t="s">
        <v>5</v>
      </c>
      <c r="C86" t="s">
        <v>36</v>
      </c>
      <c r="F86" s="5">
        <f>IF(D86="","",D86+IF(E86="",0,E86))</f>
        <v/>
      </c>
    </row>
    <row r="87" spans="1:6">
      <c r="A87" t="s">
        <v>270</v>
      </c>
      <c r="B87" t="s">
        <v>5</v>
      </c>
      <c r="C87" t="s">
        <v>36</v>
      </c>
      <c r="F87" s="5">
        <f>IF(D87="","",D87+IF(E87="",0,E87))</f>
        <v/>
      </c>
    </row>
    <row r="88" spans="1:6">
      <c r="A88" t="s">
        <v>274</v>
      </c>
      <c r="B88" t="s">
        <v>5</v>
      </c>
      <c r="C88" t="s">
        <v>36</v>
      </c>
      <c r="F88" s="5">
        <f>IF(D88="","",D88+IF(E88="",0,E88))</f>
        <v/>
      </c>
    </row>
    <row r="89" spans="1:6">
      <c r="A89" t="s">
        <v>277</v>
      </c>
      <c r="B89" t="s">
        <v>5</v>
      </c>
      <c r="C89" t="s">
        <v>36</v>
      </c>
      <c r="F89" s="5">
        <f>IF(D89="","",D89+IF(E89="",0,E89))</f>
        <v/>
      </c>
    </row>
    <row r="90" spans="1:6">
      <c r="A90" t="s">
        <v>280</v>
      </c>
      <c r="B90" t="s">
        <v>5</v>
      </c>
      <c r="C90" t="s">
        <v>36</v>
      </c>
      <c r="F90" s="5">
        <f>IF(D90="","",D90+IF(E90="",0,E90))</f>
        <v/>
      </c>
    </row>
    <row r="91" spans="1:6">
      <c r="A91" t="s">
        <v>283</v>
      </c>
      <c r="B91" t="s">
        <v>5</v>
      </c>
      <c r="C91" t="s">
        <v>36</v>
      </c>
      <c r="F91" s="5">
        <f>IF(D91="","",D91+IF(E91="",0,E91))</f>
        <v/>
      </c>
    </row>
    <row r="92" spans="1:6">
      <c r="A92" t="s">
        <v>287</v>
      </c>
      <c r="B92" t="s">
        <v>5</v>
      </c>
      <c r="C92" t="s">
        <v>36</v>
      </c>
      <c r="F92" s="5">
        <f>IF(D92="","",D92+IF(E92="",0,E92))</f>
        <v/>
      </c>
    </row>
    <row r="93" spans="1:6">
      <c r="A93" t="s">
        <v>290</v>
      </c>
      <c r="B93" t="s">
        <v>5</v>
      </c>
      <c r="C93" t="s">
        <v>36</v>
      </c>
      <c r="F93" s="5">
        <f>IF(D93="","",D93+IF(E93="",0,E93))</f>
        <v/>
      </c>
    </row>
    <row r="94" spans="1:6">
      <c r="A94" t="s">
        <v>293</v>
      </c>
      <c r="B94" t="s">
        <v>5</v>
      </c>
      <c r="C94" t="s">
        <v>36</v>
      </c>
      <c r="F94" s="5">
        <f>IF(D94="","",D94+IF(E94="",0,E94))</f>
        <v/>
      </c>
    </row>
    <row r="95" spans="1:6">
      <c r="A95" t="s">
        <v>296</v>
      </c>
      <c r="B95" t="s">
        <v>5</v>
      </c>
      <c r="C95" t="s">
        <v>36</v>
      </c>
      <c r="F95" s="5">
        <f>IF(D95="","",D95+IF(E95="",0,E95))</f>
        <v/>
      </c>
    </row>
    <row r="96" spans="1:6">
      <c r="A96" t="s">
        <v>299</v>
      </c>
      <c r="B96" t="s">
        <v>5</v>
      </c>
      <c r="C96" t="s">
        <v>36</v>
      </c>
      <c r="F96" s="5">
        <f>IF(D96="","",D96+IF(E96="",0,E96))</f>
        <v/>
      </c>
    </row>
    <row r="97" spans="1:6">
      <c r="A97" t="s">
        <v>302</v>
      </c>
      <c r="B97" t="s">
        <v>5</v>
      </c>
      <c r="C97" t="s">
        <v>174</v>
      </c>
      <c r="F97" s="5">
        <f>IF(D97="","",D97+IF(E97="",0,E97))</f>
        <v/>
      </c>
    </row>
    <row r="98" spans="1:6">
      <c r="A98" t="s">
        <v>306</v>
      </c>
      <c r="B98" t="s">
        <v>5</v>
      </c>
      <c r="C98" t="s">
        <v>36</v>
      </c>
      <c r="F98" s="5">
        <f>IF(D98="","",D98+IF(E98="",0,E98))</f>
        <v/>
      </c>
    </row>
    <row r="99" spans="1:6">
      <c r="A99" t="s">
        <v>309</v>
      </c>
      <c r="B99" t="s">
        <v>5</v>
      </c>
      <c r="C99" t="s">
        <v>36</v>
      </c>
      <c r="F99" s="5">
        <f>IF(D99="","",D99+IF(E99="",0,E99))</f>
        <v/>
      </c>
    </row>
    <row r="100" spans="1:6">
      <c r="A100" t="s">
        <v>312</v>
      </c>
      <c r="B100" t="s">
        <v>5</v>
      </c>
      <c r="C100" t="s">
        <v>36</v>
      </c>
      <c r="F100" s="5">
        <f>IF(D100="","",D100+IF(E100="",0,E100))</f>
        <v/>
      </c>
    </row>
    <row r="101" spans="1:6">
      <c r="A101" t="s">
        <v>315</v>
      </c>
      <c r="B101" t="s">
        <v>5</v>
      </c>
      <c r="C101" t="s">
        <v>36</v>
      </c>
      <c r="F101" s="5">
        <f>IF(D101="","",D101+IF(E101="",0,E101))</f>
        <v/>
      </c>
    </row>
    <row r="102" spans="1:6">
      <c r="A102" t="s">
        <v>318</v>
      </c>
      <c r="B102" t="s">
        <v>5</v>
      </c>
      <c r="C102" t="s">
        <v>36</v>
      </c>
      <c r="F102" s="5">
        <f>IF(D102="","",D102+IF(E102="",0,E102))</f>
        <v/>
      </c>
    </row>
    <row r="103" spans="1:6">
      <c r="A103" t="s">
        <v>321</v>
      </c>
      <c r="B103" t="s">
        <v>5</v>
      </c>
      <c r="C103" t="s">
        <v>36</v>
      </c>
      <c r="F103" s="5">
        <f>IF(D103="","",D103+IF(E103="",0,E103))</f>
        <v/>
      </c>
    </row>
    <row r="104" spans="1:6">
      <c r="A104" t="s">
        <v>324</v>
      </c>
      <c r="B104" t="s">
        <v>5</v>
      </c>
      <c r="C104" t="s">
        <v>36</v>
      </c>
      <c r="F104" s="5">
        <f>IF(D104="","",D104+IF(E104="",0,E104))</f>
        <v/>
      </c>
    </row>
    <row r="105" spans="1:6">
      <c r="A105" t="s">
        <v>327</v>
      </c>
      <c r="B105" t="s">
        <v>5</v>
      </c>
      <c r="C105" t="s">
        <v>36</v>
      </c>
      <c r="F105" s="5">
        <f>IF(D105="","",D105+IF(E105="",0,E105))</f>
        <v/>
      </c>
    </row>
    <row r="106" spans="1:6">
      <c r="A106" t="s">
        <v>330</v>
      </c>
      <c r="B106" t="s">
        <v>5</v>
      </c>
      <c r="C106" t="s">
        <v>36</v>
      </c>
      <c r="F106" s="5">
        <f>IF(D106="","",D106+IF(E106="",0,E106))</f>
        <v/>
      </c>
    </row>
    <row r="107" spans="1:6">
      <c r="A107" t="s">
        <v>333</v>
      </c>
      <c r="B107" t="s">
        <v>5</v>
      </c>
      <c r="C107" t="s">
        <v>36</v>
      </c>
      <c r="F107" s="5">
        <f>IF(D107="","",D107+IF(E107="",0,E107))</f>
        <v/>
      </c>
    </row>
    <row r="108" spans="1:6">
      <c r="A108" t="s">
        <v>336</v>
      </c>
      <c r="B108" t="s">
        <v>5</v>
      </c>
      <c r="C108" t="s">
        <v>36</v>
      </c>
      <c r="F108" s="5">
        <f>IF(D108="","",D108+IF(E108="",0,E108))</f>
        <v/>
      </c>
    </row>
    <row r="109" spans="1:6">
      <c r="A109" t="s">
        <v>339</v>
      </c>
      <c r="B109" t="s">
        <v>5</v>
      </c>
      <c r="C109" t="s">
        <v>36</v>
      </c>
      <c r="F109" s="5">
        <f>IF(D109="","",D109+IF(E109="",0,E109))</f>
        <v/>
      </c>
    </row>
    <row r="110" spans="1:6">
      <c r="A110" t="s">
        <v>342</v>
      </c>
      <c r="B110" t="s">
        <v>5</v>
      </c>
      <c r="C110" t="s">
        <v>36</v>
      </c>
      <c r="F110" s="5">
        <f>IF(D110="","",D110+IF(E110="",0,E110))</f>
        <v/>
      </c>
    </row>
    <row r="111" spans="1:6">
      <c r="A111" t="s">
        <v>345</v>
      </c>
      <c r="B111" t="s">
        <v>5</v>
      </c>
      <c r="C111" t="s">
        <v>36</v>
      </c>
      <c r="F111" s="5">
        <f>IF(D111="","",D111+IF(E111="",0,E111))</f>
        <v/>
      </c>
    </row>
    <row r="112" spans="1:6">
      <c r="A112" t="s">
        <v>348</v>
      </c>
      <c r="B112" t="s">
        <v>5</v>
      </c>
      <c r="C112" t="s">
        <v>36</v>
      </c>
      <c r="F112" s="5">
        <f>IF(D112="","",D112+IF(E112="",0,E112))</f>
        <v/>
      </c>
    </row>
    <row r="113" spans="1:6">
      <c r="A113" t="s">
        <v>351</v>
      </c>
      <c r="B113" t="s">
        <v>6</v>
      </c>
      <c r="C113" t="s">
        <v>174</v>
      </c>
      <c r="F113" s="5">
        <f>IF(D113="","",D113+IF(E113="",0,E113))</f>
        <v/>
      </c>
    </row>
    <row r="114" spans="1:6">
      <c r="A114" t="s">
        <v>355</v>
      </c>
      <c r="B114" t="s">
        <v>6</v>
      </c>
      <c r="C114" t="s">
        <v>36</v>
      </c>
      <c r="F114" s="5">
        <f>IF(D114="","",D114+IF(E114="",0,E114))</f>
        <v/>
      </c>
    </row>
    <row r="115" spans="1:6">
      <c r="A115" t="s">
        <v>359</v>
      </c>
      <c r="B115" t="s">
        <v>6</v>
      </c>
      <c r="C115" t="s">
        <v>36</v>
      </c>
      <c r="F115" s="5">
        <f>IF(D115="","",D115+IF(E115="",0,E115))</f>
        <v/>
      </c>
    </row>
    <row r="116" spans="1:6">
      <c r="A116" t="s">
        <v>363</v>
      </c>
      <c r="B116" t="s">
        <v>6</v>
      </c>
      <c r="C116" t="s">
        <v>36</v>
      </c>
      <c r="F116" s="5">
        <f>IF(D116="","",D116+IF(E116="",0,E116))</f>
        <v/>
      </c>
    </row>
    <row r="117" spans="1:6">
      <c r="A117" t="s">
        <v>367</v>
      </c>
      <c r="B117" t="s">
        <v>6</v>
      </c>
      <c r="C117" t="s">
        <v>36</v>
      </c>
      <c r="F117" s="5">
        <f>IF(D117="","",D117+IF(E117="",0,E117))</f>
        <v/>
      </c>
    </row>
    <row r="118" spans="1:6">
      <c r="A118" t="s">
        <v>370</v>
      </c>
      <c r="B118" t="s">
        <v>6</v>
      </c>
      <c r="C118" t="s">
        <v>36</v>
      </c>
      <c r="F118" s="5">
        <f>IF(D118="","",D118+IF(E118="",0,E118))</f>
        <v/>
      </c>
    </row>
    <row r="119" spans="1:6">
      <c r="A119" t="s">
        <v>373</v>
      </c>
      <c r="B119" t="s">
        <v>6</v>
      </c>
      <c r="C119" t="s">
        <v>36</v>
      </c>
      <c r="F119" s="5">
        <f>IF(D119="","",D119+IF(E119="",0,E119))</f>
        <v/>
      </c>
    </row>
    <row r="120" spans="1:6">
      <c r="A120" t="s">
        <v>376</v>
      </c>
      <c r="B120" t="s">
        <v>6</v>
      </c>
      <c r="C120" t="s">
        <v>36</v>
      </c>
      <c r="F120" s="5">
        <f>IF(D120="","",D120+IF(E120="",0,E120))</f>
        <v/>
      </c>
    </row>
    <row r="121" spans="1:6">
      <c r="A121" t="s">
        <v>379</v>
      </c>
      <c r="B121" t="s">
        <v>6</v>
      </c>
      <c r="C121" t="s">
        <v>36</v>
      </c>
      <c r="F121" s="5">
        <f>IF(D121="","",D121+IF(E121="",0,E121))</f>
        <v/>
      </c>
    </row>
    <row r="122" spans="1:6">
      <c r="A122" t="s">
        <v>382</v>
      </c>
      <c r="B122" t="s">
        <v>6</v>
      </c>
      <c r="C122" t="s">
        <v>36</v>
      </c>
      <c r="F122" s="5">
        <f>IF(D122="","",D122+IF(E122="",0,E122))</f>
        <v/>
      </c>
    </row>
    <row r="123" spans="1:6">
      <c r="A123" t="s">
        <v>385</v>
      </c>
      <c r="B123" t="s">
        <v>6</v>
      </c>
      <c r="C123" t="s">
        <v>36</v>
      </c>
      <c r="F123" s="5">
        <f>IF(D123="","",D123+IF(E123="",0,E123))</f>
        <v/>
      </c>
    </row>
    <row r="124" spans="1:6">
      <c r="A124" t="s">
        <v>389</v>
      </c>
      <c r="B124" t="s">
        <v>6</v>
      </c>
      <c r="C124" t="s">
        <v>36</v>
      </c>
      <c r="F124" s="5">
        <f>IF(D124="","",D124+IF(E124="",0,E124))</f>
        <v/>
      </c>
    </row>
    <row r="125" spans="1:6">
      <c r="A125" t="s">
        <v>393</v>
      </c>
      <c r="B125" t="s">
        <v>6</v>
      </c>
      <c r="C125" t="s">
        <v>36</v>
      </c>
      <c r="F125" s="5">
        <f>IF(D125="","",D125+IF(E125="",0,E125))</f>
        <v/>
      </c>
    </row>
    <row r="126" spans="1:6">
      <c r="A126" t="s">
        <v>397</v>
      </c>
      <c r="B126" t="s">
        <v>6</v>
      </c>
      <c r="C126" t="s">
        <v>36</v>
      </c>
      <c r="F126" s="5">
        <f>IF(D126="","",D126+IF(E126="",0,E126))</f>
        <v/>
      </c>
    </row>
    <row r="127" spans="1:6">
      <c r="A127" t="s">
        <v>400</v>
      </c>
      <c r="B127" t="s">
        <v>6</v>
      </c>
      <c r="C127" t="s">
        <v>36</v>
      </c>
      <c r="F127" s="5">
        <f>IF(D127="","",D127+IF(E127="",0,E127))</f>
        <v/>
      </c>
    </row>
    <row r="128" spans="1:6">
      <c r="A128" t="s">
        <v>403</v>
      </c>
      <c r="B128" t="s">
        <v>7</v>
      </c>
      <c r="C128" t="s">
        <v>174</v>
      </c>
      <c r="F128" s="5">
        <f>IF(D128="","",D128+IF(E128="",0,E128))</f>
        <v/>
      </c>
    </row>
    <row r="129" spans="1:6">
      <c r="A129" t="s">
        <v>407</v>
      </c>
      <c r="B129" t="s">
        <v>7</v>
      </c>
      <c r="C129" t="s">
        <v>36</v>
      </c>
      <c r="F129" s="5">
        <f>IF(D129="","",D129+IF(E129="",0,E129))</f>
        <v/>
      </c>
    </row>
    <row r="130" spans="1:6">
      <c r="A130" t="s">
        <v>411</v>
      </c>
      <c r="B130" t="s">
        <v>7</v>
      </c>
      <c r="C130" t="s">
        <v>36</v>
      </c>
      <c r="F130" s="5">
        <f>IF(D130="","",D130+IF(E130="",0,E130))</f>
        <v/>
      </c>
    </row>
    <row r="131" spans="1:6">
      <c r="A131" t="s">
        <v>414</v>
      </c>
      <c r="B131" t="s">
        <v>7</v>
      </c>
      <c r="C131" t="s">
        <v>36</v>
      </c>
      <c r="F131" s="5">
        <f>IF(D131="","",D131+IF(E131="",0,E131))</f>
        <v/>
      </c>
    </row>
    <row r="132" spans="1:6">
      <c r="A132" t="s">
        <v>417</v>
      </c>
      <c r="B132" t="s">
        <v>7</v>
      </c>
      <c r="C132" t="s">
        <v>36</v>
      </c>
      <c r="F132" s="5">
        <f>IF(D132="","",D132+IF(E132="",0,E132))</f>
        <v/>
      </c>
    </row>
    <row r="133" spans="1:6">
      <c r="A133" t="s">
        <v>420</v>
      </c>
      <c r="B133" t="s">
        <v>7</v>
      </c>
      <c r="C133" t="s">
        <v>36</v>
      </c>
      <c r="F133" s="5">
        <f>IF(D133="","",D133+IF(E133="",0,E133))</f>
        <v/>
      </c>
    </row>
    <row r="134" spans="1:6">
      <c r="A134" t="s">
        <v>423</v>
      </c>
      <c r="B134" t="s">
        <v>7</v>
      </c>
      <c r="C134" t="s">
        <v>36</v>
      </c>
      <c r="F134" s="5">
        <f>IF(D134="","",D134+IF(E134="",0,E134))</f>
        <v/>
      </c>
    </row>
    <row r="135" spans="1:6">
      <c r="A135" t="s">
        <v>426</v>
      </c>
      <c r="B135" t="s">
        <v>7</v>
      </c>
      <c r="C135" t="s">
        <v>36</v>
      </c>
      <c r="F135" s="5">
        <f>IF(D135="","",D135+IF(E135="",0,E135))</f>
        <v/>
      </c>
    </row>
    <row r="136" spans="1:6">
      <c r="A136" t="s">
        <v>429</v>
      </c>
      <c r="B136" t="s">
        <v>7</v>
      </c>
      <c r="C136" t="s">
        <v>36</v>
      </c>
      <c r="F136" s="5">
        <f>IF(D136="","",D136+IF(E136="",0,E136))</f>
        <v/>
      </c>
    </row>
    <row r="137" spans="1:6">
      <c r="A137" t="s">
        <v>433</v>
      </c>
      <c r="B137" t="s">
        <v>7</v>
      </c>
      <c r="C137" t="s">
        <v>36</v>
      </c>
      <c r="F137" s="5">
        <f>IF(D137="","",D137+IF(E137="",0,E137))</f>
        <v/>
      </c>
    </row>
    <row r="138" spans="1:6">
      <c r="A138" t="s">
        <v>436</v>
      </c>
      <c r="B138" t="s">
        <v>7</v>
      </c>
      <c r="C138" t="s">
        <v>36</v>
      </c>
      <c r="F138" s="5">
        <f>IF(D138="","",D138+IF(E138="",0,E138))</f>
        <v/>
      </c>
    </row>
    <row r="139" spans="1:6">
      <c r="A139" t="s">
        <v>439</v>
      </c>
      <c r="B139" t="s">
        <v>7</v>
      </c>
      <c r="C139" t="s">
        <v>36</v>
      </c>
      <c r="F139" s="5">
        <f>IF(D139="","",D139+IF(E139="",0,E139))</f>
        <v/>
      </c>
    </row>
    <row r="140" spans="1:6">
      <c r="A140" t="s">
        <v>442</v>
      </c>
      <c r="B140" t="s">
        <v>7</v>
      </c>
      <c r="C140" t="s">
        <v>36</v>
      </c>
      <c r="F140" s="5">
        <f>IF(D140="","",D140+IF(E140="",0,E140))</f>
        <v/>
      </c>
    </row>
    <row r="141" spans="1:6">
      <c r="A141" t="s">
        <v>445</v>
      </c>
      <c r="B141" t="s">
        <v>7</v>
      </c>
      <c r="C141" t="s">
        <v>36</v>
      </c>
      <c r="F141" s="5">
        <f>IF(D141="","",D141+IF(E141="",0,E141))</f>
        <v/>
      </c>
    </row>
    <row r="142" spans="1:6">
      <c r="A142" t="s">
        <v>448</v>
      </c>
      <c r="B142" t="s">
        <v>7</v>
      </c>
      <c r="C142" t="s">
        <v>36</v>
      </c>
      <c r="F142" s="5">
        <f>IF(D142="","",D142+IF(E142="",0,E142))</f>
        <v/>
      </c>
    </row>
    <row r="143" spans="1:6">
      <c r="A143" t="s">
        <v>451</v>
      </c>
      <c r="B143" t="s">
        <v>7</v>
      </c>
      <c r="C143" t="s">
        <v>36</v>
      </c>
      <c r="F143" s="5">
        <f>IF(D143="","",D143+IF(E143="",0,E143))</f>
        <v/>
      </c>
    </row>
    <row r="144" spans="1:6">
      <c r="A144" t="s">
        <v>454</v>
      </c>
      <c r="B144" t="s">
        <v>7</v>
      </c>
      <c r="C144" t="s">
        <v>36</v>
      </c>
      <c r="F144" s="5">
        <f>IF(D144="","",D144+IF(E144="",0,E144))</f>
        <v/>
      </c>
    </row>
    <row r="145" spans="1:6">
      <c r="A145" t="s">
        <v>457</v>
      </c>
      <c r="B145" t="s">
        <v>7</v>
      </c>
      <c r="C145" t="s">
        <v>36</v>
      </c>
      <c r="F145" s="5">
        <f>IF(D145="","",D145+IF(E145="",0,E145))</f>
        <v/>
      </c>
    </row>
    <row r="146" spans="1:6">
      <c r="A146" t="s">
        <v>460</v>
      </c>
      <c r="B146" t="s">
        <v>7</v>
      </c>
      <c r="C146" t="s">
        <v>36</v>
      </c>
      <c r="F146" s="5">
        <f>IF(D146="","",D146+IF(E146="",0,E146))</f>
        <v/>
      </c>
    </row>
    <row r="147" spans="1:6">
      <c r="A147" t="s">
        <v>463</v>
      </c>
      <c r="B147" t="s">
        <v>8</v>
      </c>
      <c r="C147" t="s">
        <v>36</v>
      </c>
      <c r="F147" s="5">
        <f>IF(D147="","",D147+IF(E147="",0,E147))</f>
        <v/>
      </c>
    </row>
    <row r="148" spans="1:6">
      <c r="A148" t="s">
        <v>466</v>
      </c>
      <c r="B148" t="s">
        <v>8</v>
      </c>
      <c r="C148" t="s">
        <v>36</v>
      </c>
      <c r="F148" s="5">
        <f>IF(D148="","",D148+IF(E148="",0,E148))</f>
        <v/>
      </c>
    </row>
    <row r="149" spans="1:6">
      <c r="A149" t="s">
        <v>469</v>
      </c>
      <c r="B149" t="s">
        <v>8</v>
      </c>
      <c r="C149" t="s">
        <v>36</v>
      </c>
      <c r="F149" s="5">
        <f>IF(D149="","",D149+IF(E149="",0,E149))</f>
        <v/>
      </c>
    </row>
    <row r="150" spans="1:6">
      <c r="A150" t="s">
        <v>472</v>
      </c>
      <c r="B150" t="s">
        <v>8</v>
      </c>
      <c r="C150" t="s">
        <v>36</v>
      </c>
      <c r="F150" s="5">
        <f>IF(D150="","",D150+IF(E150="",0,E150))</f>
        <v/>
      </c>
    </row>
    <row r="151" spans="1:6">
      <c r="A151" t="s">
        <v>475</v>
      </c>
      <c r="B151" t="s">
        <v>8</v>
      </c>
      <c r="C151" t="s">
        <v>36</v>
      </c>
      <c r="F151" s="5">
        <f>IF(D151="","",D151+IF(E151="",0,E151))</f>
        <v/>
      </c>
    </row>
    <row r="152" spans="1:6">
      <c r="A152" t="s">
        <v>478</v>
      </c>
      <c r="B152" t="s">
        <v>8</v>
      </c>
      <c r="C152" t="s">
        <v>36</v>
      </c>
      <c r="F152" s="5">
        <f>IF(D152="","",D152+IF(E152="",0,E152))</f>
        <v/>
      </c>
    </row>
    <row r="153" spans="1:6">
      <c r="A153" t="s">
        <v>481</v>
      </c>
      <c r="B153" t="s">
        <v>8</v>
      </c>
      <c r="C153" t="s">
        <v>36</v>
      </c>
      <c r="F153" s="5">
        <f>IF(D153="","",D153+IF(E153="",0,E153))</f>
        <v/>
      </c>
    </row>
    <row r="154" spans="1:6">
      <c r="A154" t="s">
        <v>484</v>
      </c>
      <c r="B154" t="s">
        <v>8</v>
      </c>
      <c r="C154" t="s">
        <v>36</v>
      </c>
      <c r="F154" s="5">
        <f>IF(D154="","",D154+IF(E154="",0,E154))</f>
        <v/>
      </c>
    </row>
    <row r="155" spans="1:6">
      <c r="A155" t="s">
        <v>487</v>
      </c>
      <c r="B155" t="s">
        <v>8</v>
      </c>
      <c r="C155" t="s">
        <v>36</v>
      </c>
      <c r="F155" s="5">
        <f>IF(D155="","",D155+IF(E155="",0,E155))</f>
        <v/>
      </c>
    </row>
    <row r="156" spans="1:6">
      <c r="A156" t="s">
        <v>490</v>
      </c>
      <c r="B156" t="s">
        <v>9</v>
      </c>
      <c r="C156" t="s">
        <v>36</v>
      </c>
      <c r="F156" s="5">
        <f>IF(D156="","",D156+IF(E156="",0,E156))</f>
        <v/>
      </c>
    </row>
    <row r="157" spans="1:6">
      <c r="A157" t="s">
        <v>494</v>
      </c>
      <c r="B157" t="s">
        <v>9</v>
      </c>
      <c r="C157" t="s">
        <v>36</v>
      </c>
      <c r="F157" s="5">
        <f>IF(D157="","",D157+IF(E157="",0,E157))</f>
        <v/>
      </c>
    </row>
    <row r="158" spans="1:6">
      <c r="A158" t="s">
        <v>497</v>
      </c>
      <c r="B158" t="s">
        <v>9</v>
      </c>
      <c r="C158" t="s">
        <v>36</v>
      </c>
      <c r="F158" s="5">
        <f>IF(D158="","",D158+IF(E158="",0,E158))</f>
        <v/>
      </c>
    </row>
    <row r="159" spans="1:6">
      <c r="A159" t="s">
        <v>500</v>
      </c>
      <c r="B159" t="s">
        <v>9</v>
      </c>
      <c r="C159" t="s">
        <v>36</v>
      </c>
      <c r="F159" s="5">
        <f>IF(D159="","",D159+IF(E159="",0,E159))</f>
        <v/>
      </c>
    </row>
    <row r="160" spans="1:6">
      <c r="A160" t="s">
        <v>503</v>
      </c>
      <c r="B160" t="s">
        <v>9</v>
      </c>
      <c r="C160" t="s">
        <v>36</v>
      </c>
      <c r="F160" s="5">
        <f>IF(D160="","",D160+IF(E160="",0,E160))</f>
        <v/>
      </c>
    </row>
    <row r="161" spans="1:6">
      <c r="A161" t="s">
        <v>506</v>
      </c>
      <c r="B161" t="s">
        <v>9</v>
      </c>
      <c r="C161" t="s">
        <v>36</v>
      </c>
      <c r="F161" s="5">
        <f>IF(D161="","",D161+IF(E161="",0,E161))</f>
        <v/>
      </c>
    </row>
    <row r="162" spans="1:6">
      <c r="A162" t="s">
        <v>509</v>
      </c>
      <c r="B162" t="s">
        <v>9</v>
      </c>
      <c r="C162" t="s">
        <v>36</v>
      </c>
      <c r="F162" s="5">
        <f>IF(D162="","",D162+IF(E162="",0,E162))</f>
        <v/>
      </c>
    </row>
    <row r="163" spans="1:6">
      <c r="A163" t="s">
        <v>512</v>
      </c>
      <c r="B163" t="s">
        <v>9</v>
      </c>
      <c r="C163" t="s">
        <v>36</v>
      </c>
      <c r="F163" s="5">
        <f>IF(D163="","",D163+IF(E163="",0,E163))</f>
        <v/>
      </c>
    </row>
    <row r="164" spans="1:6">
      <c r="A164" t="s">
        <v>515</v>
      </c>
      <c r="B164" t="s">
        <v>9</v>
      </c>
      <c r="C164" t="s">
        <v>36</v>
      </c>
      <c r="F164" s="5">
        <f>IF(D164="","",D164+IF(E164="",0,E164))</f>
        <v/>
      </c>
    </row>
    <row r="165" spans="1:6">
      <c r="A165" t="s">
        <v>518</v>
      </c>
      <c r="B165" t="s">
        <v>9</v>
      </c>
      <c r="C165" t="s">
        <v>36</v>
      </c>
      <c r="F165" s="5">
        <f>IF(D165="","",D165+IF(E165="",0,E165))</f>
        <v/>
      </c>
    </row>
    <row r="166" spans="1:6">
      <c r="A166" t="s">
        <v>521</v>
      </c>
      <c r="B166" t="s">
        <v>9</v>
      </c>
      <c r="C166" t="s">
        <v>36</v>
      </c>
      <c r="F166" s="5">
        <f>IF(D166="","",D166+IF(E166="",0,E166))</f>
        <v/>
      </c>
    </row>
    <row r="167" spans="1:6">
      <c r="A167" t="s">
        <v>524</v>
      </c>
      <c r="B167" t="s">
        <v>10</v>
      </c>
      <c r="C167" t="s">
        <v>36</v>
      </c>
      <c r="F167" s="5">
        <f>IF(D167="","",D167+IF(E167="",0,E167))</f>
        <v/>
      </c>
    </row>
    <row r="168" spans="1:6">
      <c r="A168" t="s">
        <v>528</v>
      </c>
      <c r="B168" t="s">
        <v>10</v>
      </c>
      <c r="C168" t="s">
        <v>36</v>
      </c>
      <c r="F168" s="5">
        <f>IF(D168="","",D168+IF(E168="",0,E168))</f>
        <v/>
      </c>
    </row>
    <row r="169" spans="1:6">
      <c r="A169" t="s">
        <v>531</v>
      </c>
      <c r="B169" t="s">
        <v>10</v>
      </c>
      <c r="C169" t="s">
        <v>36</v>
      </c>
      <c r="F169" s="5">
        <f>IF(D169="","",D169+IF(E169="",0,E169))</f>
        <v/>
      </c>
    </row>
    <row r="170" spans="1:6">
      <c r="A170" t="s">
        <v>534</v>
      </c>
      <c r="B170" t="s">
        <v>10</v>
      </c>
      <c r="C170" t="s">
        <v>36</v>
      </c>
      <c r="F170" s="5">
        <f>IF(D170="","",D170+IF(E170="",0,E170))</f>
        <v/>
      </c>
    </row>
    <row r="171" spans="1:6">
      <c r="A171" t="s">
        <v>537</v>
      </c>
      <c r="B171" t="s">
        <v>10</v>
      </c>
      <c r="C171" t="s">
        <v>36</v>
      </c>
      <c r="F171" s="5">
        <f>IF(D171="","",D171+IF(E171="",0,E171))</f>
        <v/>
      </c>
    </row>
    <row r="172" spans="1:6">
      <c r="A172" t="s">
        <v>540</v>
      </c>
      <c r="B172" t="s">
        <v>10</v>
      </c>
      <c r="C172" t="s">
        <v>36</v>
      </c>
      <c r="F172" s="5">
        <f>IF(D172="","",D172+IF(E172="",0,E172))</f>
        <v/>
      </c>
    </row>
    <row r="173" spans="1:6">
      <c r="A173" t="s">
        <v>543</v>
      </c>
      <c r="B173" t="s">
        <v>10</v>
      </c>
      <c r="C173" t="s">
        <v>36</v>
      </c>
      <c r="F173" s="5">
        <f>IF(D173="","",D173+IF(E173="",0,E173))</f>
        <v/>
      </c>
    </row>
    <row r="174" spans="1:6">
      <c r="A174" t="s">
        <v>546</v>
      </c>
      <c r="B174" t="s">
        <v>10</v>
      </c>
      <c r="C174" t="s">
        <v>36</v>
      </c>
      <c r="F174" s="5">
        <f>IF(D174="","",D174+IF(E174="",0,E174))</f>
        <v/>
      </c>
    </row>
    <row r="175" spans="1:6">
      <c r="A175" t="s">
        <v>549</v>
      </c>
      <c r="B175" t="s">
        <v>10</v>
      </c>
      <c r="C175" t="s">
        <v>36</v>
      </c>
      <c r="F175" s="5">
        <f>IF(D175="","",D175+IF(E175="",0,E175))</f>
        <v/>
      </c>
    </row>
    <row r="176" spans="1:6">
      <c r="A176" t="s">
        <v>552</v>
      </c>
      <c r="B176" t="s">
        <v>10</v>
      </c>
      <c r="C176" t="s">
        <v>36</v>
      </c>
      <c r="F176" s="5">
        <f>IF(D176="","",D176+IF(E176="",0,E176))</f>
        <v/>
      </c>
    </row>
    <row r="177" spans="1:6">
      <c r="A177" t="s">
        <v>555</v>
      </c>
      <c r="B177" t="s">
        <v>10</v>
      </c>
      <c r="C177" t="s">
        <v>36</v>
      </c>
      <c r="F177" s="5">
        <f>IF(D177="","",D177+IF(E177="",0,E177))</f>
        <v/>
      </c>
    </row>
    <row r="178" spans="1:6">
      <c r="A178" t="s">
        <v>558</v>
      </c>
      <c r="B178" t="s">
        <v>10</v>
      </c>
      <c r="C178" t="s">
        <v>36</v>
      </c>
      <c r="F178" s="5">
        <f>IF(D178="","",D178+IF(E178="",0,E178))</f>
        <v/>
      </c>
    </row>
    <row r="179" spans="1:6">
      <c r="A179" t="s">
        <v>561</v>
      </c>
      <c r="B179" t="s">
        <v>10</v>
      </c>
      <c r="C179" t="s">
        <v>36</v>
      </c>
      <c r="F179" s="5">
        <f>IF(D179="","",D179+IF(E179="",0,E179))</f>
        <v/>
      </c>
    </row>
    <row r="180" spans="1:6">
      <c r="A180" t="s">
        <v>564</v>
      </c>
      <c r="B180" t="s">
        <v>11</v>
      </c>
      <c r="C180" t="s">
        <v>36</v>
      </c>
      <c r="F180" s="5">
        <f>IF(D180="","",D180+IF(E180="",0,E180))</f>
        <v/>
      </c>
    </row>
    <row r="181" spans="1:6">
      <c r="A181" t="s">
        <v>567</v>
      </c>
      <c r="B181" t="s">
        <v>11</v>
      </c>
      <c r="C181" t="s">
        <v>36</v>
      </c>
      <c r="F181" s="5">
        <f>IF(D181="","",D181+IF(E181="",0,E181))</f>
        <v/>
      </c>
    </row>
    <row r="182" spans="1:6">
      <c r="A182" t="s">
        <v>570</v>
      </c>
      <c r="B182" t="s">
        <v>11</v>
      </c>
      <c r="C182" t="s">
        <v>36</v>
      </c>
      <c r="F182" s="5">
        <f>IF(D182="","",D182+IF(E182="",0,E182))</f>
        <v/>
      </c>
    </row>
    <row r="183" spans="1:6">
      <c r="A183" t="s">
        <v>573</v>
      </c>
      <c r="B183" t="s">
        <v>11</v>
      </c>
      <c r="C183" t="s">
        <v>36</v>
      </c>
      <c r="F183" s="5">
        <f>IF(D183="","",D183+IF(E183="",0,E183))</f>
        <v/>
      </c>
    </row>
    <row r="184" spans="1:6">
      <c r="A184" t="s">
        <v>576</v>
      </c>
      <c r="B184" t="s">
        <v>11</v>
      </c>
      <c r="C184" t="s">
        <v>36</v>
      </c>
      <c r="F184" s="5">
        <f>IF(D184="","",D184+IF(E184="",0,E184))</f>
        <v/>
      </c>
    </row>
    <row r="185" spans="1:6">
      <c r="A185" t="s">
        <v>579</v>
      </c>
      <c r="B185" t="s">
        <v>11</v>
      </c>
      <c r="C185" t="s">
        <v>36</v>
      </c>
      <c r="F185" s="5">
        <f>IF(D185="","",D185+IF(E185="",0,E185))</f>
        <v/>
      </c>
    </row>
    <row r="186" spans="1:6">
      <c r="A186" t="s">
        <v>582</v>
      </c>
      <c r="B186" t="s">
        <v>11</v>
      </c>
      <c r="C186" t="s">
        <v>36</v>
      </c>
      <c r="F186" s="5">
        <f>IF(D186="","",D186+IF(E186="",0,E186))</f>
        <v/>
      </c>
    </row>
    <row r="187" spans="1:6">
      <c r="A187" t="s">
        <v>585</v>
      </c>
      <c r="B187" t="s">
        <v>11</v>
      </c>
      <c r="C187" t="s">
        <v>36</v>
      </c>
      <c r="F187" s="5">
        <f>IF(D187="","",D187+IF(E187="",0,E187))</f>
        <v/>
      </c>
    </row>
  </sheetData>
  <autoFilter ref="A1:F187"/>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6.7109375" customWidth="1"/>
    <col min="2" max="2" width="22.7109375" customWidth="1"/>
  </cols>
  <sheetData>
    <row r="1" spans="1:2">
      <c r="A1" s="2" t="s">
        <v>590</v>
      </c>
      <c r="B1" s="2" t="s">
        <v>591</v>
      </c>
    </row>
    <row r="2" spans="1:2">
      <c r="A2" t="s">
        <v>592</v>
      </c>
      <c r="B2" s="5">
        <f>SUM(INVENTAIRE!D2:D187)</f>
        <v>0</v>
      </c>
    </row>
    <row r="3" spans="1:2">
      <c r="A3" t="s">
        <v>593</v>
      </c>
      <c r="B3" s="5">
        <f>SUMIF(INVENTAIRE!D2:D187,"&gt;=0",INVENTAIRE!E2:E187)</f>
        <v>0</v>
      </c>
    </row>
    <row r="4" spans="1:2">
      <c r="A4" t="s">
        <v>594</v>
      </c>
      <c r="B4" s="5">
        <f>B2+B3</f>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46.7109375" customWidth="1"/>
    <col min="2" max="2" width="94.7109375" customWidth="1"/>
  </cols>
  <sheetData>
    <row r="1" spans="1:2">
      <c r="A1" s="2" t="s">
        <v>595</v>
      </c>
      <c r="B1" s="2" t="s">
        <v>596</v>
      </c>
    </row>
    <row r="2" spans="1:2">
      <c r="A2" t="s">
        <v>597</v>
      </c>
      <c r="B2" t="s">
        <v>598</v>
      </c>
    </row>
    <row r="3" spans="1:2">
      <c r="A3" t="s">
        <v>599</v>
      </c>
      <c r="B3" t="s">
        <v>600</v>
      </c>
    </row>
    <row r="4" spans="1:2">
      <c r="A4" t="s">
        <v>601</v>
      </c>
      <c r="B4" t="s">
        <v>602</v>
      </c>
    </row>
    <row r="5" spans="1:2">
      <c r="A5" t="s">
        <v>603</v>
      </c>
      <c r="B5" t="s">
        <v>604</v>
      </c>
    </row>
    <row r="6" spans="1:2">
      <c r="A6" t="s">
        <v>605</v>
      </c>
      <c r="B6" t="s">
        <v>606</v>
      </c>
    </row>
    <row r="7" spans="1:2">
      <c r="A7" t="s">
        <v>31</v>
      </c>
      <c r="B7" t="s">
        <v>607</v>
      </c>
    </row>
    <row r="8" spans="1:2">
      <c r="A8" t="s">
        <v>608</v>
      </c>
      <c r="B8"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TABLEAU DE BORD</vt:lpstr>
      <vt:lpstr>All</vt:lpstr>
      <vt:lpstr>GPU</vt:lpstr>
      <vt:lpstr>CPU</vt:lpstr>
      <vt:lpstr>Motherboard</vt:lpstr>
      <vt:lpstr>PSU</vt:lpstr>
      <vt:lpstr>Case</vt:lpstr>
      <vt:lpstr>RAM</vt:lpstr>
      <vt:lpstr>SDD</vt:lpstr>
      <vt:lpstr>NVMe</vt:lpstr>
      <vt:lpstr>HDD</vt:lpstr>
      <vt:lpstr>Extra</vt:lpstr>
      <vt:lpstr>Cooling</vt:lpstr>
      <vt:lpstr>INVENTAIRE</vt:lpstr>
      <vt:lpstr>BUDGET</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Hardware Lab - Catalogue</dc:title>
  <dc:creator/>
  <dc:description>Données JSON; tarifs uniquement si justifiés</dc:description>
  <cp:lastModifiedBy/>
  <dcterms:created xsi:type="dcterms:W3CDTF">2026-10-30T03:28:58Z</dcterms:created>
  <dcterms:modified xsi:type="dcterms:W3CDTF">2026-10-30T03:28:58Z</dcterms:modified>
</cp:coreProperties>
</file>