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AU DE BORD" sheetId="1" r:id="rId1"/>
    <sheet name="INVENTAIRE" sheetId="2" r:id="rId2"/>
    <sheet name="BUDGET" sheetId="3" r:id="rId3"/>
    <sheet name="CPU" sheetId="4" r:id="rId4"/>
    <sheet name="GPU" sheetId="5" r:id="rId5"/>
    <sheet name="Motherboard" sheetId="6" r:id="rId6"/>
    <sheet name="NVMe" sheetId="7" r:id="rId7"/>
    <sheet name="SDD" sheetId="8" r:id="rId8"/>
    <sheet name="PSU" sheetId="9" r:id="rId9"/>
    <sheet name="Extra" sheetId="10" r:id="rId10"/>
    <sheet name="Case" sheetId="11" r:id="rId11"/>
    <sheet name="RAM" sheetId="12" r:id="rId12"/>
    <sheet name="Cooling" sheetId="13" r:id="rId13"/>
    <sheet name="GUIDE" sheetId="14" r:id="rId14"/>
  </sheets>
  <definedNames>
    <definedName name="_xlnm._FilterDatabase" localSheetId="10" hidden="1">Case!$A$1:$P$2</definedName>
    <definedName name="_xlnm._FilterDatabase" localSheetId="12" hidden="1">Cooling!$A$1:$P$2</definedName>
    <definedName name="_xlnm._FilterDatabase" localSheetId="3" hidden="1">CPU!$A$1:$P$2</definedName>
    <definedName name="_xlnm._FilterDatabase" localSheetId="9" hidden="1">Extra!$A$1:$P$2</definedName>
    <definedName name="_xlnm._FilterDatabase" localSheetId="4" hidden="1">GPU!$A$1:$P$2</definedName>
    <definedName name="_xlnm._FilterDatabase" localSheetId="1" hidden="1">INVENTAIRE!$A$1:$Q$5</definedName>
    <definedName name="_xlnm._FilterDatabase" localSheetId="5" hidden="1">Motherboard!$A$1:$P$2</definedName>
    <definedName name="_xlnm._FilterDatabase" localSheetId="6" hidden="1">NVMe!$A$1:$P$2</definedName>
    <definedName name="_xlnm._FilterDatabase" localSheetId="8" hidden="1">PSU!$A$1:$P$2</definedName>
    <definedName name="_xlnm._FilterDatabase" localSheetId="11" hidden="1">RAM!$A$1:$P$2</definedName>
    <definedName name="_xlnm._FilterDatabase" localSheetId="7" hidden="1">SDD!$A$1:$P$2</definedName>
  </definedNames>
  <calcPr calcId="124519" fullCalcOnLoad="1"/>
</workbook>
</file>

<file path=xl/sharedStrings.xml><?xml version="1.0" encoding="utf-8"?>
<sst xmlns="http://schemas.openxmlformats.org/spreadsheetml/2006/main" count="307" uniqueCount="91">
  <si>
    <t>ASUS G11CD  /  CONFIG FULL OPT</t>
  </si>
  <si>
    <t>Inventaire et configuration</t>
  </si>
  <si>
    <t>Références</t>
  </si>
  <si>
    <t>Composants installés</t>
  </si>
  <si>
    <t>Références candidates</t>
  </si>
  <si>
    <t>Achats chiffrés</t>
  </si>
  <si>
    <t>Sous-total hors port</t>
  </si>
  <si>
    <t>Total avec livraison</t>
  </si>
  <si>
    <t>Catégorie</t>
  </si>
  <si>
    <t>CPU</t>
  </si>
  <si>
    <t>GPU</t>
  </si>
  <si>
    <t>Motherboard</t>
  </si>
  <si>
    <t>NVMe</t>
  </si>
  <si>
    <t>SDD</t>
  </si>
  <si>
    <t>PSU</t>
  </si>
  <si>
    <t>Extra</t>
  </si>
  <si>
    <t>Case</t>
  </si>
  <si>
    <t>RAM</t>
  </si>
  <si>
    <t>Cooling</t>
  </si>
  <si>
    <t>Actualisé</t>
  </si>
  <si>
    <t>2026-10-29 05:32</t>
  </si>
  <si>
    <t>Source : Component/**/*.json</t>
  </si>
  <si>
    <t>Référence</t>
  </si>
  <si>
    <t>Fabricant</t>
  </si>
  <si>
    <t>Modèle</t>
  </si>
  <si>
    <t>Statut</t>
  </si>
  <si>
    <t>Neuf €</t>
  </si>
  <si>
    <t>Occasion €</t>
  </si>
  <si>
    <t>Achat €</t>
  </si>
  <si>
    <t>Port €</t>
  </si>
  <si>
    <t>Total payé €</t>
  </si>
  <si>
    <t>Prix cible €</t>
  </si>
  <si>
    <t>Compatibilité</t>
  </si>
  <si>
    <t>Caractéristiques</t>
  </si>
  <si>
    <t>Benchmarks</t>
  </si>
  <si>
    <t>FPS</t>
  </si>
  <si>
    <t>Fichier JSON</t>
  </si>
  <si>
    <t>Photo</t>
  </si>
  <si>
    <t>AMD Ryzen 7 1700X</t>
  </si>
  <si>
    <t>AMD</t>
  </si>
  <si>
    <t>Ryzen 7 1700X</t>
  </si>
  <si>
    <t>installed</t>
  </si>
  <si>
    <t>{"socket": "AM4", "cores": 8, "threads": 16, "base_ghz": 3.4, "boost_ghz": 3.8, "tdp_w": 95, "architecture": "Zen", "l3_cache_mb": 16}</t>
  </si>
  <si>
    <t>[]</t>
  </si>
  <si>
    <t>Component/CPU/AMD_Ryzen_7_1700X.json</t>
  </si>
  <si>
    <t>ASUS TUF B450M-PLUS GAMING</t>
  </si>
  <si>
    <t>ASUS</t>
  </si>
  <si>
    <t>TUF B450M-PLUS GAMING</t>
  </si>
  <si>
    <t>unverified</t>
  </si>
  <si>
    <t>{"form_factor": "Micro-ATX", "socket": "AM4", "chipset": "AMD B450", "bios_version": null, "ram_slots": 4}</t>
  </si>
  <si>
    <t>Component/Motherboard/ASUS_TUF_B450M_PLUS_GAMING.json</t>
  </si>
  <si>
    <t>Cooler Master RS-600-ACAB-B1 600 W</t>
  </si>
  <si>
    <t>Cooler Master</t>
  </si>
  <si>
    <t>RS-600-ACAB-B1</t>
  </si>
  <si>
    <t>{"nominal_w": 600, "modular": false, "pcie_6plus2_count": 2, "certification": null}</t>
  </si>
  <si>
    <t>Component/PSU/Cooler_Master_RS_600_ACAB_B1.json</t>
  </si>
  <si>
    <t>ASUS G11CD-FR022T — boîtier noir/rouge</t>
  </si>
  <si>
    <t>G11CD-FR022T</t>
  </si>
  <si>
    <t>{"height_mm": 440, "depth_mm": 422, "width_mm": 176, "form_factor": "OEM tower", "color": "Noir / rouge", "optical_bay": true, "front_card_reader": true, "gpu_clearance_mm": null, "side_radiator_support": "Projet de modification AIO 240 mm, non validé"}</t>
  </si>
  <si>
    <t>Component/Case/ASUS_G11CD_FR022T.json</t>
  </si>
  <si>
    <t>BUDGET / G11CD</t>
  </si>
  <si>
    <t>Montant €</t>
  </si>
  <si>
    <t>Définition</t>
  </si>
  <si>
    <t>Précision</t>
  </si>
  <si>
    <t>Pièces payées sans livraison</t>
  </si>
  <si>
    <t>Livraison associée aux achats</t>
  </si>
  <si>
    <t>SOUS-TOTAL</t>
  </si>
  <si>
    <t>Frais de livraison</t>
  </si>
  <si>
    <t>TOTAL AVEC LIVRAISON</t>
  </si>
  <si>
    <t>Estimation des références</t>
  </si>
  <si>
    <t>Prix acquisition uniquement</t>
  </si>
  <si>
    <t>Port des pièces dont acquisition renseignée</t>
  </si>
  <si>
    <t>Occasion si renseignée, sinon neuf</t>
  </si>
  <si>
    <t>MODE D'EMPLOI</t>
  </si>
  <si>
    <t>Aide</t>
  </si>
  <si>
    <t>1 · Ajouter</t>
  </si>
  <si>
    <t>Créer Component/&lt;Categorie&gt;/&lt;Reference&gt;.json</t>
  </si>
  <si>
    <t>2 · Renseigner</t>
  </si>
  <si>
    <t>Ajouter full_name, status, specifications, performance, pricing et sources.</t>
  </si>
  <si>
    <t>3 · Photo</t>
  </si>
  <si>
    <t>Mettre Assets/&lt;Categorie&gt;/&lt;Reference&gt;.jpg ou .png, même nom de base.</t>
  </si>
  <si>
    <t>4 · Régénérer</t>
  </si>
  <si>
    <t>python3 scripts/sync_components.py</t>
  </si>
  <si>
    <t>5 · Lire</t>
  </si>
  <si>
    <t>Ouvrir Configuration.xlsx avec LibreOffice Calc.</t>
  </si>
  <si>
    <t>Nouveaux candidats</t>
  </si>
  <si>
    <t>Prix de marché ≠ prix payé; un candidat n'est pas un achat.</t>
  </si>
  <si>
    <t>Mesures vérifiables</t>
  </si>
  <si>
    <t>Préciser jeu, résolution, preset, pilote, source et date des benchmarks.</t>
  </si>
  <si>
    <t>Note</t>
  </si>
  <si>
    <t>Toute édition manuelle du XLSX est perdue à la prochaine synchronisation.</t>
  </si>
</sst>
</file>

<file path=xl/styles.xml><?xml version="1.0" encoding="utf-8"?>
<styleSheet xmlns="http://schemas.openxmlformats.org/spreadsheetml/2006/main">
  <numFmts count="1">
    <numFmt numFmtId="164" formatCode="#,##0.00 &quot;€&quot;"/>
  </numFmts>
  <fonts count="7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1"/>
      <color rgb="FF202A3F"/>
      <name val="Calibri"/>
      <family val="2"/>
      <scheme val="minor"/>
    </font>
    <font>
      <b/>
      <sz val="18"/>
      <color rgb="FFC9253A"/>
      <name val="Calibri"/>
      <family val="2"/>
      <scheme val="minor"/>
    </font>
    <font>
      <i/>
      <sz val="11"/>
      <color rgb="FF65748B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F1421"/>
        <bgColor indexed="64"/>
      </patternFill>
    </fill>
    <fill>
      <patternFill patternType="solid">
        <fgColor rgb="FFEEF2F8"/>
        <bgColor indexed="64"/>
      </patternFill>
    </fill>
    <fill>
      <patternFill patternType="solid">
        <fgColor rgb="FFC9253A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C9253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164" fontId="4" fillId="0" borderId="0" xfId="0" applyNumberFormat="1" applyFont="1"/>
    <xf numFmtId="0" fontId="3" fillId="3" borderId="0" xfId="0" applyFont="1" applyFill="1" applyAlignment="1">
      <alignment vertical="center"/>
    </xf>
    <xf numFmtId="0" fontId="5" fillId="0" borderId="0" xfId="0" applyFont="1"/>
    <xf numFmtId="164" fontId="3" fillId="0" borderId="0" xfId="0" applyNumberFormat="1" applyFont="1"/>
    <xf numFmtId="164" fontId="3" fillId="3" borderId="0" xfId="0" applyNumberFormat="1" applyFont="1" applyFill="1"/>
    <xf numFmtId="0" fontId="6" fillId="4" borderId="0" xfId="0" applyFont="1" applyFill="1"/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1">
    <dxf>
      <font>
        <b/>
        <color rgb="FF188467"/>
      </font>
      <fill>
        <patternFill>
          <bgColor rgb="FFDFF7E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Références par famille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Références</c:v>
          </c:tx>
          <c:spPr>
            <a:solidFill>
              <a:srgbClr val="C9253A"/>
            </a:solidFill>
            <a:ln>
              <a:noFill/>
            </a:ln>
          </c:spPr>
          <c:cat>
            <c:strRef>
              <c:f>'TABLEAU DE BORD'!$A$15:$A$24</c:f>
              <c:strCache>
                <c:ptCount val="10"/>
                <c:pt idx="0">
                  <c:v>CPU</c:v>
                </c:pt>
                <c:pt idx="1">
                  <c:v>GPU</c:v>
                </c:pt>
                <c:pt idx="2">
                  <c:v>Motherboard</c:v>
                </c:pt>
                <c:pt idx="3">
                  <c:v>NVMe</c:v>
                </c:pt>
                <c:pt idx="4">
                  <c:v>SDD</c:v>
                </c:pt>
                <c:pt idx="5">
                  <c:v>PSU</c:v>
                </c:pt>
                <c:pt idx="6">
                  <c:v>Extra</c:v>
                </c:pt>
                <c:pt idx="7">
                  <c:v>Case</c:v>
                </c:pt>
                <c:pt idx="8">
                  <c:v>RAM</c:v>
                </c:pt>
                <c:pt idx="9">
                  <c:v>Cooling</c:v>
                </c:pt>
              </c:strCache>
            </c:strRef>
          </c:cat>
          <c:val>
            <c:numRef>
              <c:f>'TABLEAU DE BORD'!$B$15:$B$24</c:f>
              <c:numCache>
                <c:formatCode>General</c:formatCode>
                <c:ptCount val="10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0</xdr:rowOff>
    </xdr:from>
    <xdr:to>
      <xdr:col>8</xdr:col>
      <xdr:colOff>647700</xdr:colOff>
      <xdr:row>20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9253A"/>
  </sheetPr>
  <dimension ref="A1:L29"/>
  <sheetViews>
    <sheetView showGridLines="0" tabSelected="1" workbookViewId="0"/>
  </sheetViews>
  <sheetFormatPr defaultRowHeight="15"/>
  <cols>
    <col min="1" max="1" width="31.7109375" customWidth="1"/>
    <col min="2" max="2" width="22.7109375" customWidth="1"/>
    <col min="3" max="3" width="15.7109375" customWidth="1"/>
    <col min="4" max="4" width="22.7109375" customWidth="1"/>
    <col min="5" max="5" width="20.7109375" customWidth="1"/>
    <col min="6" max="12" width="13.7109375" customWidth="1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4" spans="1:12">
      <c r="A4" s="2" t="s">
        <v>1</v>
      </c>
    </row>
    <row r="5" spans="1:12">
      <c r="A5" s="3" t="s">
        <v>2</v>
      </c>
      <c r="B5" s="4">
        <v>4</v>
      </c>
    </row>
    <row r="6" spans="1:12">
      <c r="A6" s="3" t="s">
        <v>3</v>
      </c>
      <c r="B6" s="4">
        <v>4</v>
      </c>
    </row>
    <row r="7" spans="1:12">
      <c r="A7" s="3" t="s">
        <v>4</v>
      </c>
      <c r="B7" s="4">
        <v>0</v>
      </c>
    </row>
    <row r="8" spans="1:12">
      <c r="A8" s="3" t="s">
        <v>5</v>
      </c>
      <c r="B8" s="4">
        <v>0</v>
      </c>
    </row>
    <row r="10" spans="1:12">
      <c r="A10" s="3" t="s">
        <v>6</v>
      </c>
      <c r="B10" s="5">
        <f>BUDGET!B4</f>
        <v>0</v>
      </c>
    </row>
    <row r="11" spans="1:12">
      <c r="A11" s="3" t="s">
        <v>7</v>
      </c>
      <c r="B11" s="5">
        <f>BUDGET!B6</f>
        <v>0</v>
      </c>
    </row>
    <row r="14" spans="1:12">
      <c r="A14" s="2" t="s">
        <v>8</v>
      </c>
      <c r="B14" s="2" t="s">
        <v>2</v>
      </c>
    </row>
    <row r="15" spans="1:12">
      <c r="A15" s="6" t="s">
        <v>9</v>
      </c>
      <c r="B15" s="4">
        <v>1</v>
      </c>
    </row>
    <row r="16" spans="1:12">
      <c r="A16" s="3" t="s">
        <v>10</v>
      </c>
      <c r="B16" s="4">
        <v>0</v>
      </c>
    </row>
    <row r="17" spans="1:2">
      <c r="A17" s="6" t="s">
        <v>11</v>
      </c>
      <c r="B17" s="4">
        <v>1</v>
      </c>
    </row>
    <row r="18" spans="1:2">
      <c r="A18" s="3" t="s">
        <v>12</v>
      </c>
      <c r="B18" s="4">
        <v>0</v>
      </c>
    </row>
    <row r="19" spans="1:2">
      <c r="A19" s="6" t="s">
        <v>13</v>
      </c>
      <c r="B19" s="4">
        <v>0</v>
      </c>
    </row>
    <row r="20" spans="1:2">
      <c r="A20" s="3" t="s">
        <v>14</v>
      </c>
      <c r="B20" s="4">
        <v>1</v>
      </c>
    </row>
    <row r="21" spans="1:2">
      <c r="A21" s="6" t="s">
        <v>15</v>
      </c>
      <c r="B21" s="4">
        <v>0</v>
      </c>
    </row>
    <row r="22" spans="1:2">
      <c r="A22" s="3" t="s">
        <v>16</v>
      </c>
      <c r="B22" s="4">
        <v>1</v>
      </c>
    </row>
    <row r="23" spans="1:2">
      <c r="A23" s="6" t="s">
        <v>17</v>
      </c>
      <c r="B23" s="4">
        <v>0</v>
      </c>
    </row>
    <row r="24" spans="1:2">
      <c r="A24" s="3" t="s">
        <v>18</v>
      </c>
      <c r="B24" s="4">
        <v>0</v>
      </c>
    </row>
    <row r="27" spans="1:2">
      <c r="A27" s="3" t="s">
        <v>19</v>
      </c>
      <c r="B27" s="7" t="s">
        <v>20</v>
      </c>
    </row>
    <row r="29" spans="1:2">
      <c r="A29" s="7" t="s">
        <v>21</v>
      </c>
    </row>
  </sheetData>
  <mergeCells count="1">
    <mergeCell ref="A1:L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02A3F"/>
  </sheetPr>
  <dimension ref="A1:Q5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7.7109375" customWidth="1"/>
    <col min="2" max="2" width="42.7109375" customWidth="1"/>
    <col min="3" max="4" width="19.7109375" customWidth="1"/>
    <col min="5" max="10" width="16.7109375" customWidth="1"/>
    <col min="11" max="11" width="20.7109375" customWidth="1"/>
    <col min="12" max="12" width="52.7109375" customWidth="1"/>
    <col min="13" max="15" width="53.7109375" customWidth="1"/>
    <col min="16" max="17" width="55.7109375" customWidth="1"/>
  </cols>
  <sheetData>
    <row r="1" spans="1:17" ht="30" customHeight="1">
      <c r="A1" s="2" t="s">
        <v>8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30</v>
      </c>
      <c r="K1" s="2" t="s">
        <v>31</v>
      </c>
      <c r="L1" s="2" t="s">
        <v>32</v>
      </c>
      <c r="M1" s="2" t="s">
        <v>33</v>
      </c>
      <c r="N1" s="2" t="s">
        <v>34</v>
      </c>
      <c r="O1" s="2" t="s">
        <v>35</v>
      </c>
      <c r="P1" s="2" t="s">
        <v>36</v>
      </c>
      <c r="Q1" s="2" t="s">
        <v>37</v>
      </c>
    </row>
    <row r="2" spans="1:17">
      <c r="A2" s="3" t="s">
        <v>9</v>
      </c>
      <c r="B2" s="3" t="s">
        <v>38</v>
      </c>
      <c r="C2" s="3" t="s">
        <v>39</v>
      </c>
      <c r="D2" s="3" t="s">
        <v>40</v>
      </c>
      <c r="E2" s="3" t="s">
        <v>41</v>
      </c>
      <c r="J2" s="8">
        <f>IF(H2="","",H2+IF(I2="",0,I2))</f>
        <v/>
      </c>
      <c r="K2" s="8">
        <f>IF(G2&lt;&gt;"",G2,IF(F2&lt;&gt;"",F2,""))</f>
        <v/>
      </c>
      <c r="L2" s="3" t="s">
        <v>41</v>
      </c>
      <c r="M2" s="3" t="s">
        <v>42</v>
      </c>
      <c r="N2" s="3" t="s">
        <v>43</v>
      </c>
      <c r="O2" s="3" t="s">
        <v>43</v>
      </c>
      <c r="P2" s="3" t="s">
        <v>44</v>
      </c>
      <c r="Q2" s="3"/>
    </row>
    <row r="3" spans="1:17">
      <c r="A3" s="6" t="s">
        <v>11</v>
      </c>
      <c r="B3" s="6" t="s">
        <v>45</v>
      </c>
      <c r="C3" s="6" t="s">
        <v>46</v>
      </c>
      <c r="D3" s="6" t="s">
        <v>47</v>
      </c>
      <c r="E3" s="6" t="s">
        <v>41</v>
      </c>
      <c r="J3" s="9">
        <f>IF(H3="","",H3+IF(I3="",0,I3))</f>
        <v/>
      </c>
      <c r="K3" s="9">
        <f>IF(G3&lt;&gt;"",G3,IF(F3&lt;&gt;"",F3,""))</f>
        <v/>
      </c>
      <c r="L3" s="6" t="s">
        <v>48</v>
      </c>
      <c r="M3" s="6" t="s">
        <v>49</v>
      </c>
      <c r="N3" s="6" t="s">
        <v>43</v>
      </c>
      <c r="O3" s="6" t="s">
        <v>43</v>
      </c>
      <c r="P3" s="6" t="s">
        <v>50</v>
      </c>
      <c r="Q3" s="6"/>
    </row>
    <row r="4" spans="1:17">
      <c r="A4" s="3" t="s">
        <v>14</v>
      </c>
      <c r="B4" s="3" t="s">
        <v>51</v>
      </c>
      <c r="C4" s="3" t="s">
        <v>52</v>
      </c>
      <c r="D4" s="3" t="s">
        <v>53</v>
      </c>
      <c r="E4" s="3" t="s">
        <v>41</v>
      </c>
      <c r="J4" s="8">
        <f>IF(H4="","",H4+IF(I4="",0,I4))</f>
        <v/>
      </c>
      <c r="K4" s="8">
        <f>IF(G4&lt;&gt;"",G4,IF(F4&lt;&gt;"",F4,""))</f>
        <v/>
      </c>
      <c r="L4" s="3" t="s">
        <v>41</v>
      </c>
      <c r="M4" s="3" t="s">
        <v>54</v>
      </c>
      <c r="N4" s="3" t="s">
        <v>43</v>
      </c>
      <c r="O4" s="3" t="s">
        <v>43</v>
      </c>
      <c r="P4" s="3" t="s">
        <v>55</v>
      </c>
      <c r="Q4" s="3"/>
    </row>
    <row r="5" spans="1:17">
      <c r="A5" s="6" t="s">
        <v>16</v>
      </c>
      <c r="B5" s="6" t="s">
        <v>56</v>
      </c>
      <c r="C5" s="6" t="s">
        <v>46</v>
      </c>
      <c r="D5" s="6" t="s">
        <v>57</v>
      </c>
      <c r="E5" s="6" t="s">
        <v>41</v>
      </c>
      <c r="J5" s="9">
        <f>IF(H5="","",H5+IF(I5="",0,I5))</f>
        <v/>
      </c>
      <c r="K5" s="9">
        <f>IF(G5&lt;&gt;"",G5,IF(F5&lt;&gt;"",F5,""))</f>
        <v/>
      </c>
      <c r="L5" s="6" t="s">
        <v>41</v>
      </c>
      <c r="M5" s="6" t="s">
        <v>58</v>
      </c>
      <c r="N5" s="6" t="s">
        <v>43</v>
      </c>
      <c r="O5" s="6" t="s">
        <v>43</v>
      </c>
      <c r="P5" s="6" t="s">
        <v>59</v>
      </c>
      <c r="Q5" s="6"/>
    </row>
  </sheetData>
  <autoFilter ref="A1:Q5"/>
  <conditionalFormatting sqref="E2:E5">
    <cfRule type="containsText" dxfId="0" priority="1" operator="containsText" text="installed">
      <formula>NOT(ISERROR(SEARCH("installed",E2)))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9253A"/>
  </sheetPr>
  <dimension ref="A1:D8"/>
  <sheetViews>
    <sheetView showGridLines="0" workbookViewId="0"/>
  </sheetViews>
  <sheetFormatPr defaultRowHeight="15"/>
  <cols>
    <col min="1" max="1" width="40.7109375" customWidth="1"/>
    <col min="2" max="2" width="23.7109375" customWidth="1"/>
    <col min="3" max="4" width="52.7109375" customWidth="1"/>
  </cols>
  <sheetData>
    <row r="1" spans="1:4">
      <c r="A1" s="2" t="s">
        <v>60</v>
      </c>
      <c r="B1" s="2" t="s">
        <v>61</v>
      </c>
      <c r="C1" s="2" t="s">
        <v>62</v>
      </c>
      <c r="D1" s="2" t="s">
        <v>63</v>
      </c>
    </row>
    <row r="2" spans="1:4">
      <c r="A2" s="3" t="s">
        <v>64</v>
      </c>
      <c r="B2" s="8">
        <f>SUM(INVENTAIRE!I2:I5)</f>
        <v>0</v>
      </c>
      <c r="C2" s="7" t="s">
        <v>70</v>
      </c>
    </row>
    <row r="3" spans="1:4">
      <c r="A3" s="3" t="s">
        <v>65</v>
      </c>
      <c r="B3" s="8">
        <f>SUMIF(INVENTAIRE!I2:I5,"&gt;=0",INVENTAIRE!J2:J5)</f>
        <v>0</v>
      </c>
      <c r="C3" s="7" t="s">
        <v>71</v>
      </c>
    </row>
    <row r="4" spans="1:4">
      <c r="A4" s="10" t="s">
        <v>66</v>
      </c>
      <c r="B4" s="5">
        <f>B2</f>
        <v>0</v>
      </c>
    </row>
    <row r="5" spans="1:4">
      <c r="A5" s="3" t="s">
        <v>67</v>
      </c>
      <c r="B5" s="8">
        <f>B3</f>
        <v>0</v>
      </c>
    </row>
    <row r="6" spans="1:4">
      <c r="A6" s="10" t="s">
        <v>68</v>
      </c>
      <c r="B6" s="5">
        <f>B4+B5</f>
        <v>0</v>
      </c>
    </row>
    <row r="8" spans="1:4">
      <c r="A8" s="3" t="s">
        <v>69</v>
      </c>
      <c r="B8" s="8">
        <f>SUM(INVENTAIRE!L2:L5)</f>
        <v>0</v>
      </c>
      <c r="C8" s="7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02A3F"/>
  </sheetPr>
  <dimension ref="A1:P2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2.7109375" customWidth="1"/>
    <col min="2" max="4" width="19.7109375" customWidth="1"/>
    <col min="5" max="10" width="16.7109375" customWidth="1"/>
    <col min="11" max="11" width="20.7109375" customWidth="1"/>
    <col min="12" max="14" width="52.7109375" customWidth="1"/>
    <col min="15" max="16" width="60.7109375" customWidth="1"/>
  </cols>
  <sheetData>
    <row r="1" spans="1:16" ht="30" customHeight="1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  <c r="K1" s="2" t="s">
        <v>32</v>
      </c>
      <c r="L1" s="2" t="s">
        <v>33</v>
      </c>
      <c r="M1" s="2" t="s">
        <v>34</v>
      </c>
      <c r="N1" s="2" t="s">
        <v>35</v>
      </c>
      <c r="O1" s="2" t="s">
        <v>36</v>
      </c>
      <c r="P1" s="2" t="s">
        <v>37</v>
      </c>
    </row>
    <row r="2" spans="1:16">
      <c r="A2" s="3" t="s">
        <v>38</v>
      </c>
      <c r="B2" s="3" t="s">
        <v>39</v>
      </c>
      <c r="C2" s="3" t="s">
        <v>40</v>
      </c>
      <c r="D2" s="3" t="s">
        <v>41</v>
      </c>
      <c r="I2" s="8">
        <f>IF(G2="","",G2+IF(H2="",0,H2))</f>
        <v/>
      </c>
      <c r="J2" s="8">
        <f>IF(F2&lt;&gt;"",F2,IF(E2&lt;&gt;"",E2,""))</f>
        <v/>
      </c>
      <c r="K2" s="3" t="s">
        <v>41</v>
      </c>
      <c r="L2" s="3" t="s">
        <v>42</v>
      </c>
      <c r="M2" s="3" t="s">
        <v>43</v>
      </c>
      <c r="N2" s="3" t="s">
        <v>43</v>
      </c>
      <c r="O2" s="3" t="s">
        <v>44</v>
      </c>
      <c r="P2" s="3"/>
    </row>
  </sheetData>
  <autoFilter ref="A1:P2"/>
  <conditionalFormatting sqref="D2">
    <cfRule type="containsText" dxfId="0" priority="1" operator="containsText" text="installed">
      <formula>NOT(ISERROR(SEARCH("installed",D2)))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202A3F"/>
  </sheetPr>
  <dimension ref="A1:P1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2.7109375" customWidth="1"/>
    <col min="2" max="4" width="19.7109375" customWidth="1"/>
    <col min="5" max="10" width="16.7109375" customWidth="1"/>
    <col min="11" max="11" width="20.7109375" customWidth="1"/>
    <col min="12" max="14" width="52.7109375" customWidth="1"/>
    <col min="15" max="16" width="60.7109375" customWidth="1"/>
  </cols>
  <sheetData>
    <row r="1" spans="1:16" ht="30" customHeight="1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  <c r="K1" s="2" t="s">
        <v>32</v>
      </c>
      <c r="L1" s="2" t="s">
        <v>33</v>
      </c>
      <c r="M1" s="2" t="s">
        <v>34</v>
      </c>
      <c r="N1" s="2" t="s">
        <v>35</v>
      </c>
      <c r="O1" s="2" t="s">
        <v>36</v>
      </c>
      <c r="P1" s="2" t="s">
        <v>37</v>
      </c>
    </row>
  </sheetData>
  <autoFilter ref="A1:P2"/>
  <conditionalFormatting sqref="D2">
    <cfRule type="containsText" dxfId="0" priority="1" operator="containsText" text="installed">
      <formula>NOT(ISERROR(SEARCH("installed",D2)))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202A3F"/>
  </sheetPr>
  <dimension ref="A1:P2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2.7109375" customWidth="1"/>
    <col min="2" max="4" width="19.7109375" customWidth="1"/>
    <col min="5" max="10" width="16.7109375" customWidth="1"/>
    <col min="11" max="11" width="20.7109375" customWidth="1"/>
    <col min="12" max="14" width="52.7109375" customWidth="1"/>
    <col min="15" max="16" width="60.7109375" customWidth="1"/>
  </cols>
  <sheetData>
    <row r="1" spans="1:16" ht="30" customHeight="1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  <c r="K1" s="2" t="s">
        <v>32</v>
      </c>
      <c r="L1" s="2" t="s">
        <v>33</v>
      </c>
      <c r="M1" s="2" t="s">
        <v>34</v>
      </c>
      <c r="N1" s="2" t="s">
        <v>35</v>
      </c>
      <c r="O1" s="2" t="s">
        <v>36</v>
      </c>
      <c r="P1" s="2" t="s">
        <v>37</v>
      </c>
    </row>
    <row r="2" spans="1:16">
      <c r="A2" s="3" t="s">
        <v>45</v>
      </c>
      <c r="B2" s="3" t="s">
        <v>46</v>
      </c>
      <c r="C2" s="3" t="s">
        <v>47</v>
      </c>
      <c r="D2" s="3" t="s">
        <v>41</v>
      </c>
      <c r="I2" s="8">
        <f>IF(G2="","",G2+IF(H2="",0,H2))</f>
        <v/>
      </c>
      <c r="J2" s="8">
        <f>IF(F2&lt;&gt;"",F2,IF(E2&lt;&gt;"",E2,""))</f>
        <v/>
      </c>
      <c r="K2" s="3" t="s">
        <v>48</v>
      </c>
      <c r="L2" s="3" t="s">
        <v>49</v>
      </c>
      <c r="M2" s="3" t="s">
        <v>43</v>
      </c>
      <c r="N2" s="3" t="s">
        <v>43</v>
      </c>
      <c r="O2" s="3" t="s">
        <v>50</v>
      </c>
      <c r="P2" s="3"/>
    </row>
  </sheetData>
  <autoFilter ref="A1:P2"/>
  <conditionalFormatting sqref="D2">
    <cfRule type="containsText" dxfId="0" priority="1" operator="containsText" text="installed">
      <formula>NOT(ISERROR(SEARCH("installed",D2)))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202A3F"/>
  </sheetPr>
  <dimension ref="A1:P1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2.7109375" customWidth="1"/>
    <col min="2" max="4" width="19.7109375" customWidth="1"/>
    <col min="5" max="10" width="16.7109375" customWidth="1"/>
    <col min="11" max="11" width="20.7109375" customWidth="1"/>
    <col min="12" max="14" width="52.7109375" customWidth="1"/>
    <col min="15" max="16" width="60.7109375" customWidth="1"/>
  </cols>
  <sheetData>
    <row r="1" spans="1:16" ht="30" customHeight="1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  <c r="K1" s="2" t="s">
        <v>32</v>
      </c>
      <c r="L1" s="2" t="s">
        <v>33</v>
      </c>
      <c r="M1" s="2" t="s">
        <v>34</v>
      </c>
      <c r="N1" s="2" t="s">
        <v>35</v>
      </c>
      <c r="O1" s="2" t="s">
        <v>36</v>
      </c>
      <c r="P1" s="2" t="s">
        <v>37</v>
      </c>
    </row>
  </sheetData>
  <autoFilter ref="A1:P2"/>
  <conditionalFormatting sqref="D2">
    <cfRule type="containsText" dxfId="0" priority="1" operator="containsText" text="installed">
      <formula>NOT(ISERROR(SEARCH("installed",D2)))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202A3F"/>
  </sheetPr>
  <dimension ref="A1:P1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2.7109375" customWidth="1"/>
    <col min="2" max="4" width="19.7109375" customWidth="1"/>
    <col min="5" max="10" width="16.7109375" customWidth="1"/>
    <col min="11" max="11" width="20.7109375" customWidth="1"/>
    <col min="12" max="14" width="52.7109375" customWidth="1"/>
    <col min="15" max="16" width="60.7109375" customWidth="1"/>
  </cols>
  <sheetData>
    <row r="1" spans="1:16" ht="30" customHeight="1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  <c r="K1" s="2" t="s">
        <v>32</v>
      </c>
      <c r="L1" s="2" t="s">
        <v>33</v>
      </c>
      <c r="M1" s="2" t="s">
        <v>34</v>
      </c>
      <c r="N1" s="2" t="s">
        <v>35</v>
      </c>
      <c r="O1" s="2" t="s">
        <v>36</v>
      </c>
      <c r="P1" s="2" t="s">
        <v>37</v>
      </c>
    </row>
  </sheetData>
  <autoFilter ref="A1:P2"/>
  <conditionalFormatting sqref="D2">
    <cfRule type="containsText" dxfId="0" priority="1" operator="containsText" text="installed">
      <formula>NOT(ISERROR(SEARCH("installed",D2)))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202A3F"/>
  </sheetPr>
  <dimension ref="A1:P2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2.7109375" customWidth="1"/>
    <col min="2" max="4" width="19.7109375" customWidth="1"/>
    <col min="5" max="10" width="16.7109375" customWidth="1"/>
    <col min="11" max="11" width="20.7109375" customWidth="1"/>
    <col min="12" max="14" width="52.7109375" customWidth="1"/>
    <col min="15" max="16" width="60.7109375" customWidth="1"/>
  </cols>
  <sheetData>
    <row r="1" spans="1:16" ht="30" customHeight="1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  <c r="K1" s="2" t="s">
        <v>32</v>
      </c>
      <c r="L1" s="2" t="s">
        <v>33</v>
      </c>
      <c r="M1" s="2" t="s">
        <v>34</v>
      </c>
      <c r="N1" s="2" t="s">
        <v>35</v>
      </c>
      <c r="O1" s="2" t="s">
        <v>36</v>
      </c>
      <c r="P1" s="2" t="s">
        <v>37</v>
      </c>
    </row>
    <row r="2" spans="1:16">
      <c r="A2" s="3" t="s">
        <v>51</v>
      </c>
      <c r="B2" s="3" t="s">
        <v>52</v>
      </c>
      <c r="C2" s="3" t="s">
        <v>53</v>
      </c>
      <c r="D2" s="3" t="s">
        <v>41</v>
      </c>
      <c r="I2" s="8">
        <f>IF(G2="","",G2+IF(H2="",0,H2))</f>
        <v/>
      </c>
      <c r="J2" s="8">
        <f>IF(F2&lt;&gt;"",F2,IF(E2&lt;&gt;"",E2,""))</f>
        <v/>
      </c>
      <c r="K2" s="3" t="s">
        <v>41</v>
      </c>
      <c r="L2" s="3" t="s">
        <v>54</v>
      </c>
      <c r="M2" s="3" t="s">
        <v>43</v>
      </c>
      <c r="N2" s="3" t="s">
        <v>43</v>
      </c>
      <c r="O2" s="3" t="s">
        <v>55</v>
      </c>
      <c r="P2" s="3"/>
    </row>
  </sheetData>
  <autoFilter ref="A1:P2"/>
  <conditionalFormatting sqref="D2">
    <cfRule type="containsText" dxfId="0" priority="1" operator="containsText" text="installed">
      <formula>NOT(ISERROR(SEARCH("installed",D2)))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202A3F"/>
  </sheetPr>
  <dimension ref="A1:P1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2.7109375" customWidth="1"/>
    <col min="2" max="4" width="19.7109375" customWidth="1"/>
    <col min="5" max="10" width="16.7109375" customWidth="1"/>
    <col min="11" max="11" width="20.7109375" customWidth="1"/>
    <col min="12" max="14" width="52.7109375" customWidth="1"/>
    <col min="15" max="16" width="60.7109375" customWidth="1"/>
  </cols>
  <sheetData>
    <row r="1" spans="1:16" ht="30" customHeight="1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  <c r="K1" s="2" t="s">
        <v>32</v>
      </c>
      <c r="L1" s="2" t="s">
        <v>33</v>
      </c>
      <c r="M1" s="2" t="s">
        <v>34</v>
      </c>
      <c r="N1" s="2" t="s">
        <v>35</v>
      </c>
      <c r="O1" s="2" t="s">
        <v>36</v>
      </c>
      <c r="P1" s="2" t="s">
        <v>37</v>
      </c>
    </row>
  </sheetData>
  <autoFilter ref="A1:P2"/>
  <conditionalFormatting sqref="D2">
    <cfRule type="containsText" dxfId="0" priority="1" operator="containsText" text="installed">
      <formula>NOT(ISERROR(SEARCH("installed",D2)))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202A3F"/>
  </sheetPr>
  <dimension ref="A1:P2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2.7109375" customWidth="1"/>
    <col min="2" max="4" width="19.7109375" customWidth="1"/>
    <col min="5" max="10" width="16.7109375" customWidth="1"/>
    <col min="11" max="11" width="20.7109375" customWidth="1"/>
    <col min="12" max="14" width="52.7109375" customWidth="1"/>
    <col min="15" max="16" width="60.7109375" customWidth="1"/>
  </cols>
  <sheetData>
    <row r="1" spans="1:16" ht="30" customHeight="1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  <c r="K1" s="2" t="s">
        <v>32</v>
      </c>
      <c r="L1" s="2" t="s">
        <v>33</v>
      </c>
      <c r="M1" s="2" t="s">
        <v>34</v>
      </c>
      <c r="N1" s="2" t="s">
        <v>35</v>
      </c>
      <c r="O1" s="2" t="s">
        <v>36</v>
      </c>
      <c r="P1" s="2" t="s">
        <v>37</v>
      </c>
    </row>
    <row r="2" spans="1:16">
      <c r="A2" s="3" t="s">
        <v>56</v>
      </c>
      <c r="B2" s="3" t="s">
        <v>46</v>
      </c>
      <c r="C2" s="3" t="s">
        <v>57</v>
      </c>
      <c r="D2" s="3" t="s">
        <v>41</v>
      </c>
      <c r="I2" s="8">
        <f>IF(G2="","",G2+IF(H2="",0,H2))</f>
        <v/>
      </c>
      <c r="J2" s="8">
        <f>IF(F2&lt;&gt;"",F2,IF(E2&lt;&gt;"",E2,""))</f>
        <v/>
      </c>
      <c r="K2" s="3" t="s">
        <v>41</v>
      </c>
      <c r="L2" s="3" t="s">
        <v>58</v>
      </c>
      <c r="M2" s="3" t="s">
        <v>43</v>
      </c>
      <c r="N2" s="3" t="s">
        <v>43</v>
      </c>
      <c r="O2" s="3" t="s">
        <v>59</v>
      </c>
      <c r="P2" s="3"/>
    </row>
  </sheetData>
  <autoFilter ref="A1:P2"/>
  <conditionalFormatting sqref="D2">
    <cfRule type="containsText" dxfId="0" priority="1" operator="containsText" text="installed">
      <formula>NOT(ISERROR(SEARCH("installed",D2)))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202A3F"/>
  </sheetPr>
  <dimension ref="A1:P1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2.7109375" customWidth="1"/>
    <col min="2" max="4" width="19.7109375" customWidth="1"/>
    <col min="5" max="10" width="16.7109375" customWidth="1"/>
    <col min="11" max="11" width="20.7109375" customWidth="1"/>
    <col min="12" max="14" width="52.7109375" customWidth="1"/>
    <col min="15" max="16" width="60.7109375" customWidth="1"/>
  </cols>
  <sheetData>
    <row r="1" spans="1:16" ht="30" customHeight="1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  <c r="K1" s="2" t="s">
        <v>32</v>
      </c>
      <c r="L1" s="2" t="s">
        <v>33</v>
      </c>
      <c r="M1" s="2" t="s">
        <v>34</v>
      </c>
      <c r="N1" s="2" t="s">
        <v>35</v>
      </c>
      <c r="O1" s="2" t="s">
        <v>36</v>
      </c>
      <c r="P1" s="2" t="s">
        <v>37</v>
      </c>
    </row>
  </sheetData>
  <autoFilter ref="A1:P2"/>
  <conditionalFormatting sqref="D2">
    <cfRule type="containsText" dxfId="0" priority="1" operator="containsText" text="installed">
      <formula>NOT(ISERROR(SEARCH("installed",D2)))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202A3F"/>
  </sheetPr>
  <dimension ref="A1:P1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2.7109375" customWidth="1"/>
    <col min="2" max="4" width="19.7109375" customWidth="1"/>
    <col min="5" max="10" width="16.7109375" customWidth="1"/>
    <col min="11" max="11" width="20.7109375" customWidth="1"/>
    <col min="12" max="14" width="52.7109375" customWidth="1"/>
    <col min="15" max="16" width="60.7109375" customWidth="1"/>
  </cols>
  <sheetData>
    <row r="1" spans="1:16" ht="30" customHeight="1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  <c r="K1" s="2" t="s">
        <v>32</v>
      </c>
      <c r="L1" s="2" t="s">
        <v>33</v>
      </c>
      <c r="M1" s="2" t="s">
        <v>34</v>
      </c>
      <c r="N1" s="2" t="s">
        <v>35</v>
      </c>
      <c r="O1" s="2" t="s">
        <v>36</v>
      </c>
      <c r="P1" s="2" t="s">
        <v>37</v>
      </c>
    </row>
  </sheetData>
  <autoFilter ref="A1:P2"/>
  <conditionalFormatting sqref="D2">
    <cfRule type="containsText" dxfId="0" priority="1" operator="containsText" text="installed">
      <formula>NOT(ISERROR(SEARCH("installed",D2)))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9"/>
  <sheetViews>
    <sheetView showGridLines="0" workbookViewId="0"/>
  </sheetViews>
  <sheetFormatPr defaultRowHeight="15"/>
  <cols>
    <col min="1" max="1" width="35.7109375" customWidth="1"/>
    <col min="2" max="2" width="93.7109375" customWidth="1"/>
  </cols>
  <sheetData>
    <row r="1" spans="1:2">
      <c r="A1" s="2" t="s">
        <v>73</v>
      </c>
      <c r="B1" s="2" t="s">
        <v>74</v>
      </c>
    </row>
    <row r="2" spans="1:2" ht="32.25" customHeight="1">
      <c r="A2" s="3" t="s">
        <v>75</v>
      </c>
      <c r="B2" s="11" t="s">
        <v>76</v>
      </c>
    </row>
    <row r="3" spans="1:2" ht="32.25" customHeight="1">
      <c r="A3" s="3" t="s">
        <v>77</v>
      </c>
      <c r="B3" s="11" t="s">
        <v>78</v>
      </c>
    </row>
    <row r="4" spans="1:2" ht="32.25" customHeight="1">
      <c r="A4" s="3" t="s">
        <v>79</v>
      </c>
      <c r="B4" s="11" t="s">
        <v>80</v>
      </c>
    </row>
    <row r="5" spans="1:2" ht="32.25" customHeight="1">
      <c r="A5" s="3" t="s">
        <v>81</v>
      </c>
      <c r="B5" s="11" t="s">
        <v>82</v>
      </c>
    </row>
    <row r="6" spans="1:2" ht="32.25" customHeight="1">
      <c r="A6" s="3" t="s">
        <v>83</v>
      </c>
      <c r="B6" s="11" t="s">
        <v>84</v>
      </c>
    </row>
    <row r="7" spans="1:2" ht="32.25" customHeight="1">
      <c r="A7" s="3" t="s">
        <v>85</v>
      </c>
      <c r="B7" s="11" t="s">
        <v>86</v>
      </c>
    </row>
    <row r="8" spans="1:2" ht="32.25" customHeight="1">
      <c r="A8" s="3" t="s">
        <v>87</v>
      </c>
      <c r="B8" s="11" t="s">
        <v>88</v>
      </c>
    </row>
    <row r="9" spans="1:2" ht="32.25" customHeight="1">
      <c r="A9" s="3" t="s">
        <v>89</v>
      </c>
      <c r="B9" s="1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TABLEAU DE BORD</vt:lpstr>
      <vt:lpstr>INVENTAIRE</vt:lpstr>
      <vt:lpstr>BUDGET</vt:lpstr>
      <vt:lpstr>CPU</vt:lpstr>
      <vt:lpstr>GPU</vt:lpstr>
      <vt:lpstr>Motherboard</vt:lpstr>
      <vt:lpstr>NVMe</vt:lpstr>
      <vt:lpstr>SDD</vt:lpstr>
      <vt:lpstr>PSU</vt:lpstr>
      <vt:lpstr>Extra</vt:lpstr>
      <vt:lpstr>Case</vt:lpstr>
      <vt:lpstr>RAM</vt:lpstr>
      <vt:lpstr>Cooling</vt:lpstr>
      <vt:lpstr>GUIDE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ASUS G11CD · Configuration</dc:title>
  <dc:subject>Inventaire, comparatifs et budget matériel</dc:subject>
  <dc:creator/>
  <dc:description>Automatiquement généré depuis les fichiers JSON du dépôt.</dc:description>
  <cp:lastModifiedBy/>
  <dcterms:created xsi:type="dcterms:W3CDTF">2026-10-29T05:32:22Z</dcterms:created>
  <dcterms:modified xsi:type="dcterms:W3CDTF">2026-10-29T05:32:22Z</dcterms:modified>
</cp:coreProperties>
</file>