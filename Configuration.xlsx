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LEAU DE BORD" sheetId="1" state="visible" r:id="rId3"/>
    <sheet name="INVENTAIRE" sheetId="2" state="visible" r:id="rId4"/>
    <sheet name="BUDGET" sheetId="3" state="visible" r:id="rId5"/>
    <sheet name="CPU" sheetId="4" state="visible" r:id="rId6"/>
    <sheet name="GPU" sheetId="5" state="visible" r:id="rId7"/>
    <sheet name="Motherboard" sheetId="6" state="visible" r:id="rId8"/>
    <sheet name="NVMe" sheetId="7" state="visible" r:id="rId9"/>
    <sheet name="SDD" sheetId="8" state="visible" r:id="rId10"/>
    <sheet name="PSU" sheetId="9" state="visible" r:id="rId11"/>
    <sheet name="Extra" sheetId="10" state="visible" r:id="rId12"/>
    <sheet name="Case" sheetId="11" state="visible" r:id="rId13"/>
    <sheet name="RAM" sheetId="12" state="visible" r:id="rId14"/>
    <sheet name="Cooling" sheetId="13" state="visible" r:id="rId15"/>
    <sheet name="GUIDE" sheetId="14" state="visible" r:id="rId16"/>
  </sheets>
  <definedNames>
    <definedName function="false" hidden="true" localSheetId="10" name="_xlnm._FilterDatabase" vbProcedure="false">Case!$A$1:$P$2</definedName>
    <definedName function="false" hidden="true" localSheetId="12" name="_xlnm._FilterDatabase" vbProcedure="false">Cooling!$A$1:$P$2</definedName>
    <definedName function="false" hidden="true" localSheetId="3" name="_xlnm._FilterDatabase" vbProcedure="false">CPU!$A$1:$P$2</definedName>
    <definedName function="false" hidden="true" localSheetId="9" name="_xlnm._FilterDatabase" vbProcedure="false">Extra!$A$1:$P$2</definedName>
    <definedName function="false" hidden="true" localSheetId="4" name="_xlnm._FilterDatabase" vbProcedure="false">GPU!$A$1:$P$2</definedName>
    <definedName function="false" hidden="true" localSheetId="1" name="_xlnm._FilterDatabase" vbProcedure="false">INVENTAIRE!$A$1:$R$5</definedName>
    <definedName function="false" hidden="true" localSheetId="5" name="_xlnm._FilterDatabase" vbProcedure="false">Motherboard!$A$1:$P$2</definedName>
    <definedName function="false" hidden="true" localSheetId="6" name="_xlnm._FilterDatabase" vbProcedure="false">NVMe!$A$1:$P$2</definedName>
    <definedName function="false" hidden="true" localSheetId="8" name="_xlnm._FilterDatabase" vbProcedure="false">PSU!$A$1:$P$2</definedName>
    <definedName function="false" hidden="true" localSheetId="11" name="_xlnm._FilterDatabase" vbProcedure="false">RAM!$A$1:$P$2</definedName>
    <definedName function="false" hidden="true" localSheetId="7" name="_xlnm._FilterDatabase" vbProcedure="false">SDD!$A$1:$P$2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<sst xmlns="http://schemas.openxmlformats.org/spreadsheetml/2006/main" count="312" uniqueCount="97">
  <si>
    <t xml:space="preserve">ASUS G11CD  /  CONFIG FULL OPT</t>
  </si>
  <si>
    <t xml:space="preserve">Inventaire et configuration</t>
  </si>
  <si>
    <t xml:space="preserve">Références</t>
  </si>
  <si>
    <t xml:space="preserve">Composants installés</t>
  </si>
  <si>
    <t xml:space="preserve">Références candidates</t>
  </si>
  <si>
    <t xml:space="preserve">Achats chiffrés</t>
  </si>
  <si>
    <t xml:space="preserve">Sous-total hors port</t>
  </si>
  <si>
    <t xml:space="preserve">Total avec livraison</t>
  </si>
  <si>
    <t xml:space="preserve">Catégorie</t>
  </si>
  <si>
    <t xml:space="preserve">CPU</t>
  </si>
  <si>
    <t xml:space="preserve">GPU</t>
  </si>
  <si>
    <t xml:space="preserve">Motherboard</t>
  </si>
  <si>
    <t xml:space="preserve">NVMe</t>
  </si>
  <si>
    <t xml:space="preserve">SDD</t>
  </si>
  <si>
    <t xml:space="preserve">PSU</t>
  </si>
  <si>
    <t xml:space="preserve">Extra</t>
  </si>
  <si>
    <t xml:space="preserve">Case</t>
  </si>
  <si>
    <t xml:space="preserve">RAM</t>
  </si>
  <si>
    <t xml:space="preserve">Cooling</t>
  </si>
  <si>
    <t xml:space="preserve">Actualisé</t>
  </si>
  <si>
    <t xml:space="preserve">2026-10-29 05:32</t>
  </si>
  <si>
    <t xml:space="preserve">Source : Component/**/*.json</t>
  </si>
  <si>
    <t xml:space="preserve">Référence</t>
  </si>
  <si>
    <t xml:space="preserve">Fabricant</t>
  </si>
  <si>
    <t xml:space="preserve">Modèle</t>
  </si>
  <si>
    <t xml:space="preserve">Forrmat / Socket</t>
  </si>
  <si>
    <t xml:space="preserve">Statut</t>
  </si>
  <si>
    <t xml:space="preserve">Neuf €</t>
  </si>
  <si>
    <t xml:space="preserve">Occasion €</t>
  </si>
  <si>
    <t xml:space="preserve">Achat €</t>
  </si>
  <si>
    <t xml:space="preserve">Port €</t>
  </si>
  <si>
    <t xml:space="preserve">Total payé €</t>
  </si>
  <si>
    <t xml:space="preserve">Prix cible €</t>
  </si>
  <si>
    <t xml:space="preserve">Compatibilité</t>
  </si>
  <si>
    <t xml:space="preserve">Caractéristiques</t>
  </si>
  <si>
    <t xml:space="preserve">Benchmarks</t>
  </si>
  <si>
    <t xml:space="preserve">FPS</t>
  </si>
  <si>
    <t xml:space="preserve">Fichier JSON</t>
  </si>
  <si>
    <t xml:space="preserve">Photo</t>
  </si>
  <si>
    <t xml:space="preserve">AMD Ryzen 7 1700X</t>
  </si>
  <si>
    <t xml:space="preserve">AMD</t>
  </si>
  <si>
    <t xml:space="preserve">Ryzen 7 1700X</t>
  </si>
  <si>
    <t xml:space="preserve">AM4</t>
  </si>
  <si>
    <t xml:space="preserve">installed</t>
  </si>
  <si>
    <t xml:space="preserve">N/C</t>
  </si>
  <si>
    <t xml:space="preserve">{"socket": "AM4", "cores": 8, "threads": 16, "base_ghz": 3.4, "boost_ghz": 3.8, "tdp_w": 95, "architecture": "Zen", "l3_cache_mb": 16}</t>
  </si>
  <si>
    <t xml:space="preserve">[]</t>
  </si>
  <si>
    <t xml:space="preserve">Component/CPU/AMD_Ryzen_7_1700X.json</t>
  </si>
  <si>
    <t xml:space="preserve">ASUS TUF B450M-PLUS GAMING</t>
  </si>
  <si>
    <t xml:space="preserve">ASUS</t>
  </si>
  <si>
    <t xml:space="preserve">TUF B450M-PLUS GAMING II</t>
  </si>
  <si>
    <t xml:space="preserve">M-ATX</t>
  </si>
  <si>
    <t xml:space="preserve">verified</t>
  </si>
  <si>
    <t xml:space="preserve">{"form_factor": "Micro-ATX", "socket": "AM4", "chipset": "AMD B450", "bios_version": null, "ram_slots": 4}</t>
  </si>
  <si>
    <t xml:space="preserve">Component/Motherboard/ASUS_TUF_B450M_PLUS_GAMING.json</t>
  </si>
  <si>
    <t xml:space="preserve">Cooler Master RS-600-ACAB-B1 600 W</t>
  </si>
  <si>
    <t xml:space="preserve">Cooler Master</t>
  </si>
  <si>
    <t xml:space="preserve">RS-600-ACAB-B1</t>
  </si>
  <si>
    <t xml:space="preserve">{"nominal_w": 600, "modular": false, "pcie_6plus2_count": 2, "certification": null}</t>
  </si>
  <si>
    <t xml:space="preserve">Component/PSU/Cooler_Master_RS_600_ACAB_B1.json</t>
  </si>
  <si>
    <t xml:space="preserve">ASUS G11CD-FR022T — boîtier noir/rouge</t>
  </si>
  <si>
    <t xml:space="preserve">G11CD-FR022T</t>
  </si>
  <si>
    <t xml:space="preserve">{"height_mm": 440, "depth_mm": 422, "width_mm": 176, "form_factor": "OEM tower", "color": "Noir / rouge", "optical_bay": true, "front_card_reader": true, "gpu_clearance_mm": null, "side_radiator_support": "Projet de modification AIO 240 mm, non validé"}</t>
  </si>
  <si>
    <t xml:space="preserve">Component/Case/ASUS_G11CD_FR022T.json</t>
  </si>
  <si>
    <t xml:space="preserve">BUDGET / G11CD</t>
  </si>
  <si>
    <t xml:space="preserve">Montant €</t>
  </si>
  <si>
    <t xml:space="preserve">Définition</t>
  </si>
  <si>
    <t xml:space="preserve">Précision</t>
  </si>
  <si>
    <t xml:space="preserve">Pièces payées sans livraison</t>
  </si>
  <si>
    <t xml:space="preserve">Prix acquisition uniquement</t>
  </si>
  <si>
    <t xml:space="preserve">Livraison associée aux achats</t>
  </si>
  <si>
    <t xml:space="preserve">Port des pièces dont acquisition renseignée</t>
  </si>
  <si>
    <t xml:space="preserve">SOUS-TOTAL</t>
  </si>
  <si>
    <t xml:space="preserve">Frais de livraison</t>
  </si>
  <si>
    <t xml:space="preserve">TOTAL AVEC LIVRAISON</t>
  </si>
  <si>
    <t xml:space="preserve">Estimation des références</t>
  </si>
  <si>
    <t xml:space="preserve">Occasion si renseignée, sinon neuf</t>
  </si>
  <si>
    <t xml:space="preserve">TUF B450M-PLUS GAMING</t>
  </si>
  <si>
    <t xml:space="preserve">unverified</t>
  </si>
  <si>
    <t xml:space="preserve">MODE D'EMPLOI</t>
  </si>
  <si>
    <t xml:space="preserve">Aide</t>
  </si>
  <si>
    <t xml:space="preserve">1 · Ajouter</t>
  </si>
  <si>
    <t xml:space="preserve">Créer Component/&lt;Categorie&gt;/&lt;Reference&gt;.json</t>
  </si>
  <si>
    <t xml:space="preserve">2 · Renseigner</t>
  </si>
  <si>
    <t xml:space="preserve">Ajouter full_name, status, specifications, performance, pricing et sources.</t>
  </si>
  <si>
    <t xml:space="preserve">3 · Photo</t>
  </si>
  <si>
    <t xml:space="preserve">Mettre Assets/&lt;Categorie&gt;/&lt;Reference&gt;.jpg ou .png, même nom de base.</t>
  </si>
  <si>
    <t xml:space="preserve">4 · Régénérer</t>
  </si>
  <si>
    <t xml:space="preserve">python3 scripts/sync_components.py</t>
  </si>
  <si>
    <t xml:space="preserve">5 · Lire</t>
  </si>
  <si>
    <t xml:space="preserve">Ouvrir Configuration.xlsx avec LibreOffice Calc.</t>
  </si>
  <si>
    <t xml:space="preserve">Nouveaux candidats</t>
  </si>
  <si>
    <t xml:space="preserve">Prix de marché ≠ prix payé; un candidat n'est pas un achat.</t>
  </si>
  <si>
    <t xml:space="preserve">Mesures vérifiables</t>
  </si>
  <si>
    <t xml:space="preserve">Préciser jeu, résolution, preset, pilote, source et date des benchmarks.</t>
  </si>
  <si>
    <t xml:space="preserve">Note</t>
  </si>
  <si>
    <t xml:space="preserve">Toute édition manuelle du XLSX est perdue à la prochaine synchronisation.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</si>
</sst>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,\€"/>
    <numFmt numFmtId="166" formatCode="#,##0.00\ [$€-40C];[RED]\-#,##0.00\ [$€-40C]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1"/>
      <color rgb="FF202A3F"/>
      <name val="Calibri"/>
      <family val="2"/>
      <charset val="1"/>
    </font>
    <font>
      <b val="true"/>
      <sz val="18"/>
      <color rgb="FFC9253A"/>
      <name val="Calibri"/>
      <family val="2"/>
      <charset val="1"/>
    </font>
    <font>
      <i val="true"/>
      <sz val="11"/>
      <color rgb="FF65748B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FFFFFF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F1421"/>
        <bgColor rgb="FF000000"/>
      </patternFill>
    </fill>
    <fill>
      <patternFill patternType="solid">
        <fgColor rgb="FFEEF2F8"/>
        <bgColor rgb="FFDFF7ED"/>
      </patternFill>
    </fill>
    <fill>
      <patternFill patternType="solid">
        <fgColor rgb="FFC9253A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253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F1421"/>
          <bgColor rgb="FF000000"/>
        </patternFill>
      </fill>
    </dxf>
    <dxf>
      <fill>
        <patternFill patternType="solid">
          <fgColor rgb="FFEEF2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02A3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7ED"/>
          <bgColor rgb="FF000000"/>
        </patternFill>
      </fill>
    </dxf>
    <dxf>
      <fill>
        <patternFill patternType="solid">
          <fgColor rgb="FF18846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188467"/>
      </font>
      <fill>
        <patternFill>
          <bgColor rgb="FFDFF7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88467"/>
      <rgbColor rgb="FFC0C0C0"/>
      <rgbColor rgb="FF878787"/>
      <rgbColor rgb="FF9999FF"/>
      <rgbColor rgb="FFC9253A"/>
      <rgbColor rgb="FFEEF2F8"/>
      <rgbColor rgb="FFDFF7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48B"/>
      <rgbColor rgb="FF969696"/>
      <rgbColor rgb="FF003366"/>
      <rgbColor rgb="FF339966"/>
      <rgbColor rgb="FF0F1421"/>
      <rgbColor rgb="FF333300"/>
      <rgbColor rgb="FF993300"/>
      <rgbColor rgb="FF993366"/>
      <rgbColor rgb="FF333399"/>
      <rgbColor rgb="FF202A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Références par famille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"Références"</c:f>
              <c:strCache>
                <c:ptCount val="1"/>
                <c:pt idx="0">
                  <c:v>Références</c:v>
                </c:pt>
              </c:strCache>
            </c:strRef>
          </c:tx>
          <c:spPr>
            <a:solidFill>
              <a:srgbClr val="c9253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BORD'!$A$15:$A$24</c:f>
              <c:strCache>
                <c:ptCount val="10"/>
                <c:pt idx="0">
                  <c:v>CPU</c:v>
                </c:pt>
                <c:pt idx="1">
                  <c:v>GPU</c:v>
                </c:pt>
                <c:pt idx="2">
                  <c:v>Motherboard</c:v>
                </c:pt>
                <c:pt idx="3">
                  <c:v>NVMe</c:v>
                </c:pt>
                <c:pt idx="4">
                  <c:v>SDD</c:v>
                </c:pt>
                <c:pt idx="5">
                  <c:v>PSU</c:v>
                </c:pt>
                <c:pt idx="6">
                  <c:v>Extra</c:v>
                </c:pt>
                <c:pt idx="7">
                  <c:v>Case</c:v>
                </c:pt>
                <c:pt idx="8">
                  <c:v>RAM</c:v>
                </c:pt>
                <c:pt idx="9">
                  <c:v>Cooling</c:v>
                </c:pt>
              </c:strCache>
            </c:strRef>
          </c:cat>
          <c:val>
            <c:numRef>
              <c:f>'TABLEAU DE BORD'!$B$15:$B$24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94096437"/>
        <c:axId val="36109989"/>
      </c:barChart>
      <c:catAx>
        <c:axId val="940964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09989"/>
        <c:crosses val="autoZero"/>
        <c:auto val="1"/>
        <c:lblAlgn val="ctr"/>
        <c:lblOffset val="100"/>
        <c:noMultiLvlLbl val="0"/>
      </c:catAx>
      <c:valAx>
        <c:axId val="36109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964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</xdr:row>
      <xdr:rowOff>0</xdr:rowOff>
    </xdr:from>
    <xdr:to>
      <xdr:col>8</xdr:col>
      <xdr:colOff>646920</xdr:colOff>
      <xdr:row>19</xdr:row>
      <xdr:rowOff>105840</xdr:rowOff>
    </xdr:to>
    <xdr:graphicFrame>
      <xdr:nvGraphicFramePr>
        <xdr:cNvPr id="0" name="Chart 1"/>
        <xdr:cNvGraphicFramePr/>
      </xdr:nvGraphicFramePr>
      <xdr:xfrm>
        <a:off x="5612760" y="762120"/>
        <a:ext cx="7411680" cy="314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253A"/>
    <pageSetUpPr fitToPage="fals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1.72"/>
    <col collapsed="false" customWidth="true" hidden="false" outlineLevel="0" max="2" min="2" style="1" width="22.7"/>
    <col collapsed="false" customWidth="true" hidden="false" outlineLevel="0" max="3" min="3" style="1" width="15.72"/>
    <col collapsed="false" customWidth="true" hidden="false" outlineLevel="0" max="4" min="4" style="1" width="22.7"/>
    <col collapsed="false" customWidth="true" hidden="false" outlineLevel="0" max="5" min="5" style="1" width="20.72"/>
    <col collapsed="false" customWidth="true" hidden="false" outlineLevel="0" max="12" min="6" style="1" width="13.71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3" t="s">
        <v>1</v>
      </c>
    </row>
    <row r="5" customFormat="false" ht="15" hidden="false" customHeight="false" outlineLevel="0" collapsed="false">
      <c r="A5" s="4" t="s">
        <v>2</v>
      </c>
      <c r="B5" s="5" t="n">
        <v>4</v>
      </c>
    </row>
    <row r="6" customFormat="false" ht="15" hidden="false" customHeight="false" outlineLevel="0" collapsed="false">
      <c r="A6" s="4" t="s">
        <v>3</v>
      </c>
      <c r="B6" s="5" t="n">
        <v>4</v>
      </c>
    </row>
    <row r="7" customFormat="false" ht="15" hidden="false" customHeight="false" outlineLevel="0" collapsed="false">
      <c r="A7" s="4" t="s">
        <v>4</v>
      </c>
      <c r="B7" s="5" t="n">
        <v>0</v>
      </c>
    </row>
    <row r="8" customFormat="false" ht="15" hidden="false" customHeight="false" outlineLevel="0" collapsed="false">
      <c r="A8" s="4" t="s">
        <v>5</v>
      </c>
      <c r="B8" s="5" t="n">
        <v>0</v>
      </c>
    </row>
    <row r="10" customFormat="false" ht="22.05" hidden="false" customHeight="false" outlineLevel="0" collapsed="false">
      <c r="A10" s="4" t="s">
        <v>6</v>
      </c>
      <c r="B10" s="6" t="n">
        <f aca="false">BUDGET!B4</f>
        <v>30</v>
      </c>
    </row>
    <row r="11" customFormat="false" ht="22.05" hidden="false" customHeight="false" outlineLevel="0" collapsed="false">
      <c r="A11" s="4" t="s">
        <v>7</v>
      </c>
      <c r="B11" s="6" t="n">
        <f aca="false">BUDGET!B6</f>
        <v>35</v>
      </c>
    </row>
    <row r="14" customFormat="false" ht="15" hidden="false" customHeight="false" outlineLevel="0" collapsed="false">
      <c r="A14" s="3" t="s">
        <v>8</v>
      </c>
      <c r="B14" s="3" t="s">
        <v>2</v>
      </c>
    </row>
    <row r="15" customFormat="false" ht="15" hidden="false" customHeight="false" outlineLevel="0" collapsed="false">
      <c r="A15" s="7" t="s">
        <v>9</v>
      </c>
      <c r="B15" s="5" t="n">
        <v>1</v>
      </c>
    </row>
    <row r="16" customFormat="false" ht="15" hidden="false" customHeight="false" outlineLevel="0" collapsed="false">
      <c r="A16" s="4" t="s">
        <v>10</v>
      </c>
      <c r="B16" s="5" t="n">
        <v>0</v>
      </c>
    </row>
    <row r="17" customFormat="false" ht="15" hidden="false" customHeight="false" outlineLevel="0" collapsed="false">
      <c r="A17" s="7" t="s">
        <v>11</v>
      </c>
      <c r="B17" s="5" t="n">
        <v>1</v>
      </c>
    </row>
    <row r="18" customFormat="false" ht="15" hidden="false" customHeight="false" outlineLevel="0" collapsed="false">
      <c r="A18" s="4" t="s">
        <v>12</v>
      </c>
      <c r="B18" s="5" t="n">
        <v>0</v>
      </c>
    </row>
    <row r="19" customFormat="false" ht="15" hidden="false" customHeight="false" outlineLevel="0" collapsed="false">
      <c r="A19" s="7" t="s">
        <v>13</v>
      </c>
      <c r="B19" s="5" t="n">
        <v>0</v>
      </c>
    </row>
    <row r="20" customFormat="false" ht="15" hidden="false" customHeight="false" outlineLevel="0" collapsed="false">
      <c r="A20" s="4" t="s">
        <v>14</v>
      </c>
      <c r="B20" s="5" t="n">
        <v>1</v>
      </c>
    </row>
    <row r="21" customFormat="false" ht="15" hidden="false" customHeight="false" outlineLevel="0" collapsed="false">
      <c r="A21" s="7" t="s">
        <v>15</v>
      </c>
      <c r="B21" s="5" t="n">
        <v>0</v>
      </c>
    </row>
    <row r="22" customFormat="false" ht="15" hidden="false" customHeight="false" outlineLevel="0" collapsed="false">
      <c r="A22" s="4" t="s">
        <v>16</v>
      </c>
      <c r="B22" s="5" t="n">
        <v>1</v>
      </c>
    </row>
    <row r="23" customFormat="false" ht="15" hidden="false" customHeight="false" outlineLevel="0" collapsed="false">
      <c r="A23" s="7" t="s">
        <v>17</v>
      </c>
      <c r="B23" s="5" t="n">
        <v>0</v>
      </c>
    </row>
    <row r="24" customFormat="false" ht="15" hidden="false" customHeight="false" outlineLevel="0" collapsed="false">
      <c r="A24" s="4" t="s">
        <v>18</v>
      </c>
      <c r="B24" s="5" t="n">
        <v>0</v>
      </c>
    </row>
    <row r="27" customFormat="false" ht="15" hidden="false" customHeight="false" outlineLevel="0" collapsed="false">
      <c r="A27" s="4" t="s">
        <v>19</v>
      </c>
      <c r="B27" s="8" t="s">
        <v>20</v>
      </c>
    </row>
    <row r="29" customFormat="false" ht="15" hidden="false" customHeight="false" outlineLevel="0" collapsed="false">
      <c r="A29" s="8" t="s">
        <v>21</v>
      </c>
    </row>
  </sheetData>
  <mergeCells count="1">
    <mergeCell ref="A1:L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R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J5" activeCellId="0" sqref="G5:J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71"/>
    <col collapsed="false" customWidth="true" hidden="false" outlineLevel="0" max="2" min="2" style="1" width="40.56"/>
    <col collapsed="false" customWidth="true" hidden="false" outlineLevel="0" max="3" min="3" style="1" width="19.72"/>
    <col collapsed="false" customWidth="true" hidden="false" outlineLevel="0" max="4" min="4" style="1" width="29.3"/>
    <col collapsed="false" customWidth="true" hidden="false" outlineLevel="0" max="5" min="5" style="1" width="17.19"/>
    <col collapsed="false" customWidth="true" hidden="false" outlineLevel="0" max="6" min="6" style="1" width="10.54"/>
    <col collapsed="false" customWidth="true" hidden="false" outlineLevel="0" max="7" min="7" style="1" width="9.1"/>
    <col collapsed="false" customWidth="true" hidden="false" outlineLevel="0" max="8" min="8" style="1" width="12.29"/>
    <col collapsed="false" customWidth="true" hidden="false" outlineLevel="0" max="9" min="9" style="1" width="9.84"/>
    <col collapsed="false" customWidth="true" hidden="false" outlineLevel="0" max="10" min="10" style="1" width="8.49"/>
    <col collapsed="false" customWidth="true" hidden="false" outlineLevel="0" max="11" min="11" style="1" width="13.39"/>
    <col collapsed="false" customWidth="true" hidden="false" outlineLevel="0" max="12" min="12" style="1" width="12.41"/>
    <col collapsed="false" customWidth="true" hidden="false" outlineLevel="0" max="13" min="13" style="1" width="14.74"/>
    <col collapsed="false" customWidth="true" hidden="false" outlineLevel="0" max="14" min="14" style="1" width="83.09"/>
    <col collapsed="false" customWidth="true" hidden="false" outlineLevel="0" max="16" min="15" style="1" width="53.71"/>
    <col collapsed="false" customWidth="true" hidden="false" outlineLevel="0" max="18" min="17" style="1" width="55.72"/>
  </cols>
  <sheetData>
    <row r="1" customFormat="false" ht="30" hidden="false" customHeight="true" outlineLevel="0" collapsed="false">
      <c r="A1" s="9" t="s">
        <v>8</v>
      </c>
      <c r="B1" s="9" t="s">
        <v>22</v>
      </c>
      <c r="C1" s="9" t="s">
        <v>23</v>
      </c>
      <c r="D1" s="9" t="s">
        <v>24</v>
      </c>
      <c r="E1" s="9" t="s">
        <v>25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  <c r="K1" s="9" t="s">
        <v>31</v>
      </c>
      <c r="L1" s="9" t="s">
        <v>32</v>
      </c>
      <c r="M1" s="9" t="s">
        <v>33</v>
      </c>
      <c r="N1" s="3" t="s">
        <v>34</v>
      </c>
      <c r="O1" s="3" t="s">
        <v>35</v>
      </c>
      <c r="P1" s="3" t="s">
        <v>36</v>
      </c>
      <c r="Q1" s="3" t="s">
        <v>37</v>
      </c>
      <c r="R1" s="3" t="s">
        <v>38</v>
      </c>
    </row>
    <row r="2" customFormat="false" ht="31.3" hidden="false" customHeight="false" outlineLevel="0" collapsed="false">
      <c r="A2" s="10" t="s">
        <v>9</v>
      </c>
      <c r="B2" s="4" t="s">
        <v>39</v>
      </c>
      <c r="C2" s="11" t="s">
        <v>40</v>
      </c>
      <c r="D2" s="11" t="s">
        <v>41</v>
      </c>
      <c r="E2" s="11" t="s">
        <v>42</v>
      </c>
      <c r="F2" s="4" t="s">
        <v>43</v>
      </c>
      <c r="G2" s="12" t="s">
        <v>44</v>
      </c>
      <c r="H2" s="12" t="n">
        <v>50</v>
      </c>
      <c r="I2" s="12" t="n">
        <v>0</v>
      </c>
      <c r="J2" s="12" t="n">
        <v>0</v>
      </c>
      <c r="K2" s="13" t="n">
        <f aca="false">IF(I2="","",I2+IF(J2="",0,J2))</f>
        <v>0</v>
      </c>
      <c r="L2" s="13" t="n">
        <f aca="false">IF(H2&lt;&gt;"",H2,IF(G2&lt;&gt;"",G2,""))</f>
        <v>50</v>
      </c>
      <c r="M2" s="11" t="s">
        <v>43</v>
      </c>
      <c r="N2" s="14" t="s">
        <v>45</v>
      </c>
      <c r="O2" s="4" t="s">
        <v>46</v>
      </c>
      <c r="P2" s="4" t="s">
        <v>46</v>
      </c>
      <c r="Q2" s="4" t="s">
        <v>47</v>
      </c>
      <c r="R2" s="4"/>
    </row>
    <row r="3" customFormat="false" ht="31.3" hidden="false" customHeight="false" outlineLevel="0" collapsed="false">
      <c r="A3" s="15" t="s">
        <v>11</v>
      </c>
      <c r="B3" s="7" t="s">
        <v>48</v>
      </c>
      <c r="C3" s="16" t="s">
        <v>49</v>
      </c>
      <c r="D3" s="16" t="s">
        <v>50</v>
      </c>
      <c r="E3" s="16" t="s">
        <v>51</v>
      </c>
      <c r="F3" s="7" t="s">
        <v>43</v>
      </c>
      <c r="G3" s="12" t="n">
        <v>177</v>
      </c>
      <c r="H3" s="12" t="n">
        <v>75</v>
      </c>
      <c r="I3" s="12" t="n">
        <v>0</v>
      </c>
      <c r="J3" s="12" t="n">
        <v>0</v>
      </c>
      <c r="K3" s="17" t="n">
        <f aca="false">IF(I3="","",I3+IF(J3="",0,J3))</f>
        <v>0</v>
      </c>
      <c r="L3" s="17" t="n">
        <f aca="false">IF(H3&lt;&gt;"",H3,IF(G3&lt;&gt;"",G3,""))</f>
        <v>75</v>
      </c>
      <c r="M3" s="16" t="s">
        <v>52</v>
      </c>
      <c r="N3" s="18" t="s">
        <v>53</v>
      </c>
      <c r="O3" s="7" t="s">
        <v>46</v>
      </c>
      <c r="P3" s="7" t="s">
        <v>46</v>
      </c>
      <c r="Q3" s="7" t="s">
        <v>54</v>
      </c>
      <c r="R3" s="7"/>
    </row>
    <row r="4" customFormat="false" ht="16.4" hidden="false" customHeight="false" outlineLevel="0" collapsed="false">
      <c r="A4" s="10" t="s">
        <v>14</v>
      </c>
      <c r="B4" s="4" t="s">
        <v>55</v>
      </c>
      <c r="C4" s="11" t="s">
        <v>56</v>
      </c>
      <c r="D4" s="11" t="s">
        <v>57</v>
      </c>
      <c r="E4" s="11"/>
      <c r="F4" s="4" t="s">
        <v>43</v>
      </c>
      <c r="G4" s="19" t="n">
        <v>75</v>
      </c>
      <c r="H4" s="19" t="n">
        <v>30</v>
      </c>
      <c r="I4" s="19" t="n">
        <v>0</v>
      </c>
      <c r="J4" s="19" t="n">
        <v>0</v>
      </c>
      <c r="K4" s="13" t="n">
        <f aca="false">IF(I4="","",I4+IF(J4="",0,J4))</f>
        <v>0</v>
      </c>
      <c r="L4" s="13" t="n">
        <f aca="false">IF(H4&lt;&gt;"",H4,IF(G4&lt;&gt;"",G4,""))</f>
        <v>30</v>
      </c>
      <c r="M4" s="11" t="s">
        <v>43</v>
      </c>
      <c r="N4" s="14" t="s">
        <v>58</v>
      </c>
      <c r="O4" s="4" t="s">
        <v>46</v>
      </c>
      <c r="P4" s="4" t="s">
        <v>46</v>
      </c>
      <c r="Q4" s="4" t="s">
        <v>59</v>
      </c>
      <c r="R4" s="4"/>
    </row>
    <row r="5" customFormat="false" ht="46.25" hidden="false" customHeight="false" outlineLevel="0" collapsed="false">
      <c r="A5" s="15" t="s">
        <v>16</v>
      </c>
      <c r="B5" s="7" t="s">
        <v>60</v>
      </c>
      <c r="C5" s="16" t="s">
        <v>49</v>
      </c>
      <c r="D5" s="16" t="s">
        <v>61</v>
      </c>
      <c r="E5" s="16" t="s">
        <v>51</v>
      </c>
      <c r="F5" s="7" t="s">
        <v>43</v>
      </c>
      <c r="G5" s="20" t="n">
        <v>70</v>
      </c>
      <c r="H5" s="20" t="n">
        <v>30</v>
      </c>
      <c r="I5" s="20" t="n">
        <v>30</v>
      </c>
      <c r="J5" s="20" t="n">
        <v>5</v>
      </c>
      <c r="K5" s="17" t="n">
        <f aca="false">IF(I5="","",I5+IF(J5="",0,J5))</f>
        <v>35</v>
      </c>
      <c r="L5" s="17" t="n">
        <f aca="false">IF(H5&lt;&gt;"",H5,IF(G5&lt;&gt;"",G5,""))</f>
        <v>30</v>
      </c>
      <c r="M5" s="16" t="s">
        <v>43</v>
      </c>
      <c r="N5" s="18" t="s">
        <v>62</v>
      </c>
      <c r="O5" s="7" t="s">
        <v>46</v>
      </c>
      <c r="P5" s="7" t="s">
        <v>46</v>
      </c>
      <c r="Q5" s="7" t="s">
        <v>63</v>
      </c>
      <c r="R5" s="7"/>
    </row>
    <row r="6" customFormat="false" ht="15" hidden="false" customHeight="false" outlineLevel="0" collapsed="false">
      <c r="A6" s="21"/>
    </row>
    <row r="7" customFormat="false" ht="15" hidden="false" customHeight="false" outlineLevel="0" collapsed="false">
      <c r="A7" s="21"/>
    </row>
    <row r="8" customFormat="false" ht="15" hidden="false" customHeight="false" outlineLevel="0" collapsed="false">
      <c r="A8" s="21"/>
    </row>
    <row r="9" customFormat="false" ht="15" hidden="false" customHeight="false" outlineLevel="0" collapsed="false">
      <c r="A9" s="21"/>
    </row>
    <row r="10" customFormat="false" ht="15" hidden="false" customHeight="false" outlineLevel="0" collapsed="false">
      <c r="A10" s="21"/>
    </row>
    <row r="11" customFormat="false" ht="15" hidden="false" customHeight="false" outlineLevel="0" collapsed="false">
      <c r="A11" s="21"/>
    </row>
    <row r="12" customFormat="false" ht="15" hidden="false" customHeight="false" outlineLevel="0" collapsed="false">
      <c r="A12" s="21"/>
    </row>
    <row r="13" customFormat="false" ht="15" hidden="false" customHeight="false" outlineLevel="0" collapsed="false">
      <c r="A13" s="21"/>
    </row>
    <row r="14" customFormat="false" ht="15" hidden="false" customHeight="false" outlineLevel="0" collapsed="false">
      <c r="A14" s="21"/>
    </row>
  </sheetData>
  <autoFilter ref="A1:R5"/>
  <conditionalFormatting sqref="F2:F5">
    <cfRule type="containsText" priority="2" operator="containsText" aboveAverage="0" equalAverage="0" bottom="0" percent="0" rank="0" text="installed" dxfId="8">
      <formula>NOT(ISERROR(SEARCH("installed",F2)))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253A"/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0.72"/>
    <col collapsed="false" customWidth="true" hidden="false" outlineLevel="0" max="2" min="2" style="1" width="23.72"/>
    <col collapsed="false" customWidth="true" hidden="false" outlineLevel="0" max="4" min="3" style="1" width="52.72"/>
  </cols>
  <sheetData>
    <row r="1" customFormat="false" ht="15" hidden="false" customHeight="false" outlineLevel="0" collapsed="false">
      <c r="A1" s="3" t="s">
        <v>64</v>
      </c>
      <c r="B1" s="3" t="s">
        <v>65</v>
      </c>
      <c r="C1" s="3" t="s">
        <v>66</v>
      </c>
      <c r="D1" s="3" t="s">
        <v>67</v>
      </c>
    </row>
    <row r="2" customFormat="false" ht="15" hidden="false" customHeight="false" outlineLevel="0" collapsed="false">
      <c r="A2" s="4" t="s">
        <v>68</v>
      </c>
      <c r="B2" s="22" t="n">
        <f aca="false">SUM(INVENTAIRE!I2:I5)</f>
        <v>30</v>
      </c>
      <c r="C2" s="8" t="s">
        <v>69</v>
      </c>
    </row>
    <row r="3" customFormat="false" ht="15" hidden="false" customHeight="false" outlineLevel="0" collapsed="false">
      <c r="A3" s="4" t="s">
        <v>70</v>
      </c>
      <c r="B3" s="22" t="n">
        <f aca="false">SUMIF(INVENTAIRE!I2:I5,"&gt;=0",INVENTAIRE!J2:J5)</f>
        <v>5</v>
      </c>
      <c r="C3" s="8" t="s">
        <v>71</v>
      </c>
    </row>
    <row r="4" customFormat="false" ht="22.05" hidden="false" customHeight="false" outlineLevel="0" collapsed="false">
      <c r="A4" s="23" t="s">
        <v>72</v>
      </c>
      <c r="B4" s="6" t="n">
        <f aca="false">B2</f>
        <v>30</v>
      </c>
    </row>
    <row r="5" customFormat="false" ht="15" hidden="false" customHeight="false" outlineLevel="0" collapsed="false">
      <c r="A5" s="4" t="s">
        <v>73</v>
      </c>
      <c r="B5" s="22" t="n">
        <f aca="false">B3</f>
        <v>5</v>
      </c>
    </row>
    <row r="6" customFormat="false" ht="22.05" hidden="false" customHeight="false" outlineLevel="0" collapsed="false">
      <c r="A6" s="23" t="s">
        <v>74</v>
      </c>
      <c r="B6" s="6" t="n">
        <f aca="false">B4+B5</f>
        <v>35</v>
      </c>
    </row>
    <row r="8" customFormat="false" ht="15" hidden="false" customHeight="false" outlineLevel="0" collapsed="false">
      <c r="A8" s="4" t="s">
        <v>75</v>
      </c>
      <c r="B8" s="22" t="n">
        <f aca="false">SUM(INVENTAIRE!L2:L5)</f>
        <v>185</v>
      </c>
      <c r="C8" s="8" t="s">
        <v>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  <row r="2" customFormat="false" ht="16.4" hidden="false" customHeight="false" outlineLevel="0" collapsed="false">
      <c r="A2" s="4" t="s">
        <v>39</v>
      </c>
      <c r="B2" s="4" t="s">
        <v>40</v>
      </c>
      <c r="C2" s="4" t="s">
        <v>41</v>
      </c>
      <c r="D2" s="4" t="s">
        <v>43</v>
      </c>
      <c r="I2" s="22" t="str">
        <f aca="false">IF(G2="","",G2+IF(H2="",0,H2))</f>
        <v/>
      </c>
      <c r="J2" s="22" t="str">
        <f aca="false">IF(F2&lt;&gt;"",F2,IF(E2&lt;&gt;"",E2,""))</f>
        <v/>
      </c>
      <c r="K2" s="4" t="s">
        <v>43</v>
      </c>
      <c r="L2" s="4" t="s">
        <v>45</v>
      </c>
      <c r="M2" s="4" t="s">
        <v>46</v>
      </c>
      <c r="N2" s="4" t="s">
        <v>46</v>
      </c>
      <c r="O2" s="4" t="s">
        <v>47</v>
      </c>
      <c r="P2" s="4"/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  <row r="2" customFormat="false" ht="16.4" hidden="false" customHeight="false" outlineLevel="0" collapsed="false">
      <c r="A2" s="4" t="s">
        <v>48</v>
      </c>
      <c r="B2" s="4" t="s">
        <v>49</v>
      </c>
      <c r="C2" s="4" t="s">
        <v>77</v>
      </c>
      <c r="D2" s="4" t="s">
        <v>43</v>
      </c>
      <c r="I2" s="22" t="str">
        <f aca="false">IF(G2="","",G2+IF(H2="",0,H2))</f>
        <v/>
      </c>
      <c r="J2" s="22" t="str">
        <f aca="false">IF(F2&lt;&gt;"",F2,IF(E2&lt;&gt;"",E2,""))</f>
        <v/>
      </c>
      <c r="K2" s="4" t="s">
        <v>78</v>
      </c>
      <c r="L2" s="4" t="s">
        <v>53</v>
      </c>
      <c r="M2" s="4" t="s">
        <v>46</v>
      </c>
      <c r="N2" s="4" t="s">
        <v>46</v>
      </c>
      <c r="O2" s="4" t="s">
        <v>54</v>
      </c>
      <c r="P2" s="4"/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  <row r="2" customFormat="false" ht="16.4" hidden="false" customHeight="false" outlineLevel="0" collapsed="false">
      <c r="A2" s="4" t="s">
        <v>55</v>
      </c>
      <c r="B2" s="4" t="s">
        <v>56</v>
      </c>
      <c r="C2" s="4" t="s">
        <v>57</v>
      </c>
      <c r="D2" s="4" t="s">
        <v>43</v>
      </c>
      <c r="I2" s="22" t="str">
        <f aca="false">IF(G2="","",G2+IF(H2="",0,H2))</f>
        <v/>
      </c>
      <c r="J2" s="22" t="str">
        <f aca="false">IF(F2&lt;&gt;"",F2,IF(E2&lt;&gt;"",E2,""))</f>
        <v/>
      </c>
      <c r="K2" s="4" t="s">
        <v>43</v>
      </c>
      <c r="L2" s="4" t="s">
        <v>58</v>
      </c>
      <c r="M2" s="4" t="s">
        <v>46</v>
      </c>
      <c r="N2" s="4" t="s">
        <v>46</v>
      </c>
      <c r="O2" s="4" t="s">
        <v>59</v>
      </c>
      <c r="P2" s="4"/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  <row r="2" customFormat="false" ht="16.4" hidden="false" customHeight="false" outlineLevel="0" collapsed="false">
      <c r="A2" s="4" t="s">
        <v>60</v>
      </c>
      <c r="B2" s="4" t="s">
        <v>49</v>
      </c>
      <c r="C2" s="4" t="s">
        <v>61</v>
      </c>
      <c r="D2" s="4" t="s">
        <v>43</v>
      </c>
      <c r="I2" s="22" t="str">
        <f aca="false">IF(G2="","",G2+IF(H2="",0,H2))</f>
        <v/>
      </c>
      <c r="J2" s="22" t="str">
        <f aca="false">IF(F2&lt;&gt;"",F2,IF(E2&lt;&gt;"",E2,""))</f>
        <v/>
      </c>
      <c r="K2" s="4" t="s">
        <v>43</v>
      </c>
      <c r="L2" s="4" t="s">
        <v>62</v>
      </c>
      <c r="M2" s="4" t="s">
        <v>46</v>
      </c>
      <c r="N2" s="4" t="s">
        <v>46</v>
      </c>
      <c r="O2" s="4" t="s">
        <v>63</v>
      </c>
      <c r="P2" s="4"/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2A3F"/>
    <pageSetUpPr fitToPage="false"/>
  </sheetPr>
  <dimension ref="A1:P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7"/>
    <col collapsed="false" customWidth="true" hidden="false" outlineLevel="0" max="4" min="2" style="1" width="19.72"/>
    <col collapsed="false" customWidth="true" hidden="false" outlineLevel="0" max="10" min="5" style="1" width="16.72"/>
    <col collapsed="false" customWidth="true" hidden="false" outlineLevel="0" max="11" min="11" style="1" width="20.72"/>
    <col collapsed="false" customWidth="true" hidden="false" outlineLevel="0" max="14" min="12" style="1" width="52.72"/>
    <col collapsed="false" customWidth="true" hidden="false" outlineLevel="0" max="16" min="15" style="1" width="60.72"/>
  </cols>
  <sheetData>
    <row r="1" customFormat="false" ht="30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37</v>
      </c>
      <c r="P1" s="3" t="s">
        <v>38</v>
      </c>
    </row>
  </sheetData>
  <autoFilter ref="A1:P2"/>
  <conditionalFormatting sqref="D2">
    <cfRule type="containsText" priority="2" operator="containsText" aboveAverage="0" equalAverage="0" bottom="0" percent="0" rank="0" text="installed" dxfId="8">
      <formula>NOT(ISERROR(SEARCH("installed",D2)))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5:J5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5.72"/>
    <col collapsed="false" customWidth="true" hidden="false" outlineLevel="0" max="2" min="2" style="1" width="93.71"/>
  </cols>
  <sheetData>
    <row r="1" customFormat="false" ht="15" hidden="false" customHeight="false" outlineLevel="0" collapsed="false">
      <c r="A1" s="3" t="s">
        <v>79</v>
      </c>
      <c r="B1" s="3" t="s">
        <v>80</v>
      </c>
    </row>
    <row r="2" customFormat="false" ht="32.25" hidden="false" customHeight="true" outlineLevel="0" collapsed="false">
      <c r="A2" s="4" t="s">
        <v>81</v>
      </c>
      <c r="B2" s="24" t="s">
        <v>82</v>
      </c>
    </row>
    <row r="3" customFormat="false" ht="32.25" hidden="false" customHeight="true" outlineLevel="0" collapsed="false">
      <c r="A3" s="4" t="s">
        <v>83</v>
      </c>
      <c r="B3" s="24" t="s">
        <v>84</v>
      </c>
    </row>
    <row r="4" customFormat="false" ht="32.25" hidden="false" customHeight="true" outlineLevel="0" collapsed="false">
      <c r="A4" s="4" t="s">
        <v>85</v>
      </c>
      <c r="B4" s="24" t="s">
        <v>86</v>
      </c>
    </row>
    <row r="5" customFormat="false" ht="32.25" hidden="false" customHeight="true" outlineLevel="0" collapsed="false">
      <c r="A5" s="4" t="s">
        <v>87</v>
      </c>
      <c r="B5" s="24" t="s">
        <v>88</v>
      </c>
    </row>
    <row r="6" customFormat="false" ht="32.25" hidden="false" customHeight="true" outlineLevel="0" collapsed="false">
      <c r="A6" s="4" t="s">
        <v>89</v>
      </c>
      <c r="B6" s="24" t="s">
        <v>90</v>
      </c>
    </row>
    <row r="7" customFormat="false" ht="32.25" hidden="false" customHeight="true" outlineLevel="0" collapsed="false">
      <c r="A7" s="4" t="s">
        <v>91</v>
      </c>
      <c r="B7" s="24" t="s">
        <v>92</v>
      </c>
    </row>
    <row r="8" customFormat="false" ht="32.25" hidden="false" customHeight="true" outlineLevel="0" collapsed="false">
      <c r="A8" s="4" t="s">
        <v>93</v>
      </c>
      <c r="B8" s="24" t="s">
        <v>94</v>
      </c>
    </row>
    <row r="9" customFormat="false" ht="32.25" hidden="false" customHeight="true" outlineLevel="0" collapsed="false">
      <c r="A9" s="4" t="s">
        <v>95</v>
      </c>
      <c r="B9" s="24" t="s"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2026-10-29T05:32:38Z</dcterms:created>
  <dc:creator/>
  <dc:description>Automatiquement généré depuis les fichiers JSON du dépôt.</dc:description>
  <dc:language>fr-FR</dc:language>
  <cp:lastModifiedBy/>
  <dcterms:modified xsi:type="dcterms:W3CDTF">2026-10-30T00:46:40Z</dcterms:modified>
  <cp:revision>3</cp:revision>
  <dc:subject>Inventaire, comparatifs et budget matériel</dc:subject>
  <dc:title>ASUS G11CD · Configuration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