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INVENTAIRE" sheetId="2" r:id="rId2"/>
    <sheet name="BUDGET" sheetId="3" r:id="rId3"/>
    <sheet name="CPU" sheetId="4" r:id="rId4"/>
    <sheet name="GPU" sheetId="5" r:id="rId5"/>
    <sheet name="Motherboard" sheetId="6" r:id="rId6"/>
    <sheet name="NVMe" sheetId="7" r:id="rId7"/>
    <sheet name="SDD" sheetId="8" r:id="rId8"/>
    <sheet name="PSU" sheetId="9" r:id="rId9"/>
    <sheet name="Extra" sheetId="10" r:id="rId10"/>
    <sheet name="Case" sheetId="11" r:id="rId11"/>
    <sheet name="RAM" sheetId="12" r:id="rId12"/>
    <sheet name="Cooling" sheetId="13" r:id="rId13"/>
    <sheet name="GUIDE" sheetId="14" r:id="rId14"/>
  </sheets>
  <definedNames>
    <definedName name="_xlnm._FilterDatabase" localSheetId="10" hidden="1">Case!$A$1:$P$20</definedName>
    <definedName name="_xlnm._FilterDatabase" localSheetId="12" hidden="1">Cooling!$A$1:$P$2</definedName>
    <definedName name="_xlnm._FilterDatabase" localSheetId="3" hidden="1">CPU!$A$1:$P$35</definedName>
    <definedName name="_xlnm._FilterDatabase" localSheetId="9" hidden="1">Extra!$A$1:$P$2</definedName>
    <definedName name="_xlnm._FilterDatabase" localSheetId="4" hidden="1">GPU!$A$1:$P$47</definedName>
    <definedName name="_xlnm._FilterDatabase" localSheetId="1" hidden="1">INVENTAIRE!$A$1:$Q$179</definedName>
    <definedName name="_xlnm._FilterDatabase" localSheetId="5" hidden="1">Motherboard!$A$1:$P$32</definedName>
    <definedName name="_xlnm._FilterDatabase" localSheetId="6" hidden="1">NVMe!$A$1:$P$14</definedName>
    <definedName name="_xlnm._FilterDatabase" localSheetId="8" hidden="1">PSU!$A$1:$P$16</definedName>
    <definedName name="_xlnm._FilterDatabase" localSheetId="11" hidden="1">RAM!$A$1:$P$10</definedName>
    <definedName name="_xlnm._FilterDatabase" localSheetId="7" hidden="1">SDD!$A$1:$P$12</definedName>
  </definedNames>
  <calcPr calcId="124519" fullCalcOnLoad="1"/>
</workbook>
</file>

<file path=xl/sharedStrings.xml><?xml version="1.0" encoding="utf-8"?>
<sst xmlns="http://schemas.openxmlformats.org/spreadsheetml/2006/main" count="3615" uniqueCount="730">
  <si>
    <t>ASUS G11CD  /  CONFIG FULL OPT</t>
  </si>
  <si>
    <t>Inventaire et configuration</t>
  </si>
  <si>
    <t>Références</t>
  </si>
  <si>
    <t>Composants installés</t>
  </si>
  <si>
    <t>Références candidates</t>
  </si>
  <si>
    <t>Achats chiffrés</t>
  </si>
  <si>
    <t>Sous-total hors port</t>
  </si>
  <si>
    <t>Total avec livraison</t>
  </si>
  <si>
    <t>Catégorie</t>
  </si>
  <si>
    <t>CPU</t>
  </si>
  <si>
    <t>GPU</t>
  </si>
  <si>
    <t>Motherboard</t>
  </si>
  <si>
    <t>NVMe</t>
  </si>
  <si>
    <t>SDD</t>
  </si>
  <si>
    <t>PSU</t>
  </si>
  <si>
    <t>Extra</t>
  </si>
  <si>
    <t>Case</t>
  </si>
  <si>
    <t>RAM</t>
  </si>
  <si>
    <t>Cooling</t>
  </si>
  <si>
    <t>Actualisé</t>
  </si>
  <si>
    <t>2026-10-30 01:23</t>
  </si>
  <si>
    <t>Source : Component/**/*.json</t>
  </si>
  <si>
    <t>Référence</t>
  </si>
  <si>
    <t>Fabricant</t>
  </si>
  <si>
    <t>Modèle</t>
  </si>
  <si>
    <t>Statut</t>
  </si>
  <si>
    <t>Neuf €</t>
  </si>
  <si>
    <t>Occasion €</t>
  </si>
  <si>
    <t>Achat €</t>
  </si>
  <si>
    <t>Port €</t>
  </si>
  <si>
    <t>Total payé €</t>
  </si>
  <si>
    <t>Prix cible €</t>
  </si>
  <si>
    <t>Compatibilité</t>
  </si>
  <si>
    <t>Caractéristiques</t>
  </si>
  <si>
    <t>Benchmarks</t>
  </si>
  <si>
    <t>FPS</t>
  </si>
  <si>
    <t>Fichier JSON</t>
  </si>
  <si>
    <t>Photo</t>
  </si>
  <si>
    <t>AMD Ryzen 5 1600</t>
  </si>
  <si>
    <t>AMD</t>
  </si>
  <si>
    <t>Ryzen 5 1600</t>
  </si>
  <si>
    <t>candidate</t>
  </si>
  <si>
    <t>unverified</t>
  </si>
  <si>
    <t>{"cores": 6, "threads": 12, "socket": "AM4"}</t>
  </si>
  <si>
    <t>[]</t>
  </si>
  <si>
    <t>Component/CPU/AMD_Ryzen_5_1600.json</t>
  </si>
  <si>
    <t>AMD Ryzen 5 2600</t>
  </si>
  <si>
    <t>Ryzen 5 2600</t>
  </si>
  <si>
    <t>Component/CPU/AMD_Ryzen_5_2600.json</t>
  </si>
  <si>
    <t>AMD Ryzen 5 3600</t>
  </si>
  <si>
    <t>Ryzen 5 3600</t>
  </si>
  <si>
    <t>Component/CPU/AMD_Ryzen_5_3600.json</t>
  </si>
  <si>
    <t>AMD Ryzen 5 5600</t>
  </si>
  <si>
    <t>Ryzen 5 5600</t>
  </si>
  <si>
    <t>Component/CPU/AMD_Ryzen_5_5600.json</t>
  </si>
  <si>
    <t>AMD Ryzen 5 5600X</t>
  </si>
  <si>
    <t>Ryzen 5 5600X</t>
  </si>
  <si>
    <t>Component/CPU/AMD_Ryzen_5_5600X.json</t>
  </si>
  <si>
    <t>AMD Ryzen 5 7600</t>
  </si>
  <si>
    <t>Ryzen 5 7600</t>
  </si>
  <si>
    <t>{"cores": 6, "threads": 12, "socket": "AM5"}</t>
  </si>
  <si>
    <t>Component/CPU/AMD_Ryzen_5_7600.json</t>
  </si>
  <si>
    <t>AMD Ryzen 5 7600X</t>
  </si>
  <si>
    <t>Ryzen 5 7600X</t>
  </si>
  <si>
    <t>Component/CPU/AMD_Ryzen_5_7600X.json</t>
  </si>
  <si>
    <t>AMD Ryzen 7 1700X</t>
  </si>
  <si>
    <t>Ryzen 7 1700X</t>
  </si>
  <si>
    <t>installed</t>
  </si>
  <si>
    <t>{"socket": "AM4", "cores": 8, "threads": 16, "base_ghz": 3.4, "boost_ghz": 3.8, "tdp_w": 95, "architecture": "Zen", "l3_cache_mb": 16}</t>
  </si>
  <si>
    <t>Component/CPU/AMD_Ryzen_7_1700X.json</t>
  </si>
  <si>
    <t>AMD Ryzen 7 2700X</t>
  </si>
  <si>
    <t>Ryzen 7 2700X</t>
  </si>
  <si>
    <t>{"cores": 8, "threads": 16, "socket": "AM4"}</t>
  </si>
  <si>
    <t>Component/CPU/AMD_Ryzen_7_2700X.json</t>
  </si>
  <si>
    <t>AMD Ryzen 7 3700X</t>
  </si>
  <si>
    <t>Ryzen 7 3700X</t>
  </si>
  <si>
    <t>Component/CPU/AMD_Ryzen_7_3700X.json</t>
  </si>
  <si>
    <t>AMD Ryzen 7 5700X</t>
  </si>
  <si>
    <t>Ryzen 7 5700X</t>
  </si>
  <si>
    <t>Component/CPU/AMD_Ryzen_7_5700X.json</t>
  </si>
  <si>
    <t>AMD Ryzen 7 5700X3D</t>
  </si>
  <si>
    <t>Ryzen 7 5700X3D</t>
  </si>
  <si>
    <t>Component/CPU/AMD_Ryzen_7_5700X3D.json</t>
  </si>
  <si>
    <t>AMD Ryzen 7 5800X3D</t>
  </si>
  <si>
    <t>Ryzen 7 5800X3D</t>
  </si>
  <si>
    <t>Component/CPU/AMD_Ryzen_7_5800X3D.json</t>
  </si>
  <si>
    <t>AMD Ryzen 7 7700X</t>
  </si>
  <si>
    <t>Ryzen 7 7700X</t>
  </si>
  <si>
    <t>{"cores": 8, "threads": 16, "socket": "AM5"}</t>
  </si>
  <si>
    <t>Component/CPU/AMD_Ryzen_7_7700X.json</t>
  </si>
  <si>
    <t>AMD Ryzen 7 7800X3D</t>
  </si>
  <si>
    <t>Ryzen 7 7800X3D</t>
  </si>
  <si>
    <t>Component/CPU/AMD_Ryzen_7_7800X3D.json</t>
  </si>
  <si>
    <t>AMD Ryzen 7 9800X3D</t>
  </si>
  <si>
    <t>Ryzen 7 9800X3D</t>
  </si>
  <si>
    <t>Component/CPU/AMD_Ryzen_7_9800X3D.json</t>
  </si>
  <si>
    <t>AMD Ryzen 9 5900X</t>
  </si>
  <si>
    <t>Ryzen 9 5900X</t>
  </si>
  <si>
    <t>{"cores": 12, "threads": 24, "socket": "AM4"}</t>
  </si>
  <si>
    <t>Component/CPU/AMD_Ryzen_9_5900X.json</t>
  </si>
  <si>
    <t>AMD Ryzen 9 5950X</t>
  </si>
  <si>
    <t>Ryzen 9 5950X</t>
  </si>
  <si>
    <t>{"cores": 16, "threads": 32, "socket": "AM4"}</t>
  </si>
  <si>
    <t>Component/CPU/AMD_Ryzen_9_5950X.json</t>
  </si>
  <si>
    <t>AMD Ryzen 9 7950X</t>
  </si>
  <si>
    <t>Ryzen 9 7950X</t>
  </si>
  <si>
    <t>{"cores": 16, "threads": 32, "socket": "AM5"}</t>
  </si>
  <si>
    <t>Component/CPU/AMD_Ryzen_9_7950X.json</t>
  </si>
  <si>
    <t>Intel Core i5-10400</t>
  </si>
  <si>
    <t>Intel</t>
  </si>
  <si>
    <t>Core i5-10400</t>
  </si>
  <si>
    <t>{"cores": 6, "threads": 12, "socket": "LGA1200"}</t>
  </si>
  <si>
    <t>Component/CPU/Intel_Core_i5-10400.json</t>
  </si>
  <si>
    <t>Intel Core i5-11400</t>
  </si>
  <si>
    <t>Core i5-11400</t>
  </si>
  <si>
    <t>Component/CPU/Intel_Core_i5-11400.json</t>
  </si>
  <si>
    <t>Intel Core i5-12400F</t>
  </si>
  <si>
    <t>Core i5-12400F</t>
  </si>
  <si>
    <t>{"cores": 6, "threads": 12, "socket": "LGA1700"}</t>
  </si>
  <si>
    <t>Component/CPU/Intel_Core_i5-12400F.json</t>
  </si>
  <si>
    <t>Intel Core i5-13400F</t>
  </si>
  <si>
    <t>Core i5-13400F</t>
  </si>
  <si>
    <t>{"cores": 10, "threads": 16, "socket": "LGA1700"}</t>
  </si>
  <si>
    <t>Component/CPU/Intel_Core_i5-13400F.json</t>
  </si>
  <si>
    <t>Intel Core i5-13600K</t>
  </si>
  <si>
    <t>Core i5-13600K</t>
  </si>
  <si>
    <t>{"cores": 14, "threads": 20, "socket": "LGA1700"}</t>
  </si>
  <si>
    <t>Component/CPU/Intel_Core_i5-13600K.json</t>
  </si>
  <si>
    <t>Intel Core i5-14600K</t>
  </si>
  <si>
    <t>Core i5-14600K</t>
  </si>
  <si>
    <t>Component/CPU/Intel_Core_i5-14600K.json</t>
  </si>
  <si>
    <t>Intel Core i7-10700K</t>
  </si>
  <si>
    <t>Core i7-10700K</t>
  </si>
  <si>
    <t>{"cores": 8, "threads": 16, "socket": "LGA1200"}</t>
  </si>
  <si>
    <t>Component/CPU/Intel_Core_i7-10700K.json</t>
  </si>
  <si>
    <t>Intel Core i7-12700K</t>
  </si>
  <si>
    <t>Core i7-12700K</t>
  </si>
  <si>
    <t>{"cores": 12, "threads": 20, "socket": "LGA1700"}</t>
  </si>
  <si>
    <t>Component/CPU/Intel_Core_i7-12700K.json</t>
  </si>
  <si>
    <t>Intel Core i7-13700K</t>
  </si>
  <si>
    <t>Core i7-13700K</t>
  </si>
  <si>
    <t>{"cores": 16, "threads": 24, "socket": "LGA1700"}</t>
  </si>
  <si>
    <t>Component/CPU/Intel_Core_i7-13700K.json</t>
  </si>
  <si>
    <t>Intel Core i7-14700K</t>
  </si>
  <si>
    <t>Core i7-14700K</t>
  </si>
  <si>
    <t>{"cores": 20, "threads": 28, "socket": "LGA1700"}</t>
  </si>
  <si>
    <t>Component/CPU/Intel_Core_i7-14700K.json</t>
  </si>
  <si>
    <t>Intel Core i7-4770</t>
  </si>
  <si>
    <t>Core i7-4770</t>
  </si>
  <si>
    <t>{"cores": 4, "threads": 8, "socket": "LGA1150"}</t>
  </si>
  <si>
    <t>Component/CPU/Intel_Core_i7-4770.json</t>
  </si>
  <si>
    <t>Intel Core i7-6700</t>
  </si>
  <si>
    <t>Core i7-6700</t>
  </si>
  <si>
    <t>{"cores": 4, "threads": 8, "socket": "LGA1151"}</t>
  </si>
  <si>
    <t>Component/CPU/Intel_Core_i7-6700.json</t>
  </si>
  <si>
    <t>Intel Core i7-7700</t>
  </si>
  <si>
    <t>Core i7-7700</t>
  </si>
  <si>
    <t>Component/CPU/Intel_Core_i7-7700.json</t>
  </si>
  <si>
    <t>Intel Core i7-8700</t>
  </si>
  <si>
    <t>Core i7-8700</t>
  </si>
  <si>
    <t>{"cores": 6, "threads": 12, "socket": "LGA1151"}</t>
  </si>
  <si>
    <t>Component/CPU/Intel_Core_i7-8700.json</t>
  </si>
  <si>
    <t>Intel Core i7-9700K</t>
  </si>
  <si>
    <t>Core i7-9700K</t>
  </si>
  <si>
    <t>{"cores": 8, "threads": 8, "socket": "LGA1151"}</t>
  </si>
  <si>
    <t>Component/CPU/Intel_Core_i7-9700K.json</t>
  </si>
  <si>
    <t>AMD Radeon RX 5700</t>
  </si>
  <si>
    <t>Radeon RX 5700</t>
  </si>
  <si>
    <t>{"vram_gb": 8, "vram_type": "GDDR6", "memory_bus_bits": 256}</t>
  </si>
  <si>
    <t>Component/GPU/AMD_Radeon_RX_5700.json</t>
  </si>
  <si>
    <t>AMD Radeon RX 5700 XT</t>
  </si>
  <si>
    <t>Radeon RX 5700 XT</t>
  </si>
  <si>
    <t>Component/GPU/AMD_Radeon_RX_5700_XT.json</t>
  </si>
  <si>
    <t>AMD Radeon RX 580</t>
  </si>
  <si>
    <t>Radeon RX 580</t>
  </si>
  <si>
    <t>{"vram_gb": 8, "vram_type": "GDDR5", "memory_bus_bits": 256}</t>
  </si>
  <si>
    <t>Component/GPU/AMD_Radeon_RX_580.json</t>
  </si>
  <si>
    <t>AMD Radeon RX 6600</t>
  </si>
  <si>
    <t>Radeon RX 6600</t>
  </si>
  <si>
    <t>{"vram_gb": 8, "vram_type": "GDDR6", "memory_bus_bits": 128}</t>
  </si>
  <si>
    <t>Component/GPU/AMD_Radeon_RX_6600.json</t>
  </si>
  <si>
    <t>AMD Radeon RX 6600 XT</t>
  </si>
  <si>
    <t>Radeon RX 6600 XT</t>
  </si>
  <si>
    <t>Component/GPU/AMD_Radeon_RX_6600_XT.json</t>
  </si>
  <si>
    <t>AMD Radeon RX 6650 XT</t>
  </si>
  <si>
    <t>Radeon RX 6650 XT</t>
  </si>
  <si>
    <t>Component/GPU/AMD_Radeon_RX_6650_XT.json</t>
  </si>
  <si>
    <t>AMD Radeon RX 6700</t>
  </si>
  <si>
    <t>Radeon RX 6700</t>
  </si>
  <si>
    <t>{"vram_gb": 10, "vram_type": "GDDR6", "memory_bus_bits": 160}</t>
  </si>
  <si>
    <t>Component/GPU/AMD_Radeon_RX_6700.json</t>
  </si>
  <si>
    <t>AMD Radeon RX 6700 XT</t>
  </si>
  <si>
    <t>Radeon RX 6700 XT</t>
  </si>
  <si>
    <t>{"vram_gb": 12, "vram_type": "GDDR6", "memory_bus_bits": 192}</t>
  </si>
  <si>
    <t>Component/GPU/AMD_Radeon_RX_6700_XT.json</t>
  </si>
  <si>
    <t>AMD Radeon RX 6750 XT</t>
  </si>
  <si>
    <t>Radeon RX 6750 XT</t>
  </si>
  <si>
    <t>Component/GPU/AMD_Radeon_RX_6750_XT.json</t>
  </si>
  <si>
    <t>AMD Radeon RX 6800</t>
  </si>
  <si>
    <t>Radeon RX 6800</t>
  </si>
  <si>
    <t>{"vram_gb": 16, "vram_type": "GDDR6", "memory_bus_bits": 256}</t>
  </si>
  <si>
    <t>Component/GPU/AMD_Radeon_RX_6800.json</t>
  </si>
  <si>
    <t>AMD Radeon RX 6800 XT</t>
  </si>
  <si>
    <t>Radeon RX 6800 XT</t>
  </si>
  <si>
    <t>Component/GPU/AMD_Radeon_RX_6800_XT.json</t>
  </si>
  <si>
    <t>AMD Radeon RX 6900 XT</t>
  </si>
  <si>
    <t>Radeon RX 6900 XT</t>
  </si>
  <si>
    <t>Component/GPU/AMD_Radeon_RX_6900_XT.json</t>
  </si>
  <si>
    <t>AMD Radeon RX 6950 XT</t>
  </si>
  <si>
    <t>Radeon RX 6950 XT</t>
  </si>
  <si>
    <t>Component/GPU/AMD_Radeon_RX_6950_XT.json</t>
  </si>
  <si>
    <t>AMD Radeon RX 7600</t>
  </si>
  <si>
    <t>Radeon RX 7600</t>
  </si>
  <si>
    <t>Component/GPU/AMD_Radeon_RX_7600.json</t>
  </si>
  <si>
    <t>AMD Radeon RX 7600 XT</t>
  </si>
  <si>
    <t>Radeon RX 7600 XT</t>
  </si>
  <si>
    <t>{"vram_gb": 16, "vram_type": "GDDR6", "memory_bus_bits": 128}</t>
  </si>
  <si>
    <t>Component/GPU/AMD_Radeon_RX_7600_XT.json</t>
  </si>
  <si>
    <t>AMD Radeon RX 7700 XT</t>
  </si>
  <si>
    <t>Radeon RX 7700 XT</t>
  </si>
  <si>
    <t>Component/GPU/AMD_Radeon_RX_7700_XT.json</t>
  </si>
  <si>
    <t>AMD Radeon RX 7800 XT</t>
  </si>
  <si>
    <t>Radeon RX 7800 XT</t>
  </si>
  <si>
    <t>Component/GPU/AMD_Radeon_RX_7800_XT.json</t>
  </si>
  <si>
    <t>AMD Radeon RX 7900 GRE</t>
  </si>
  <si>
    <t>Radeon RX 7900 GRE</t>
  </si>
  <si>
    <t>Component/GPU/AMD_Radeon_RX_7900_GRE.json</t>
  </si>
  <si>
    <t>AMD Radeon RX 7900 XT</t>
  </si>
  <si>
    <t>Radeon RX 7900 XT</t>
  </si>
  <si>
    <t>{"vram_gb": 20, "vram_type": "GDDR6", "memory_bus_bits": 320}</t>
  </si>
  <si>
    <t>Component/GPU/AMD_Radeon_RX_7900_XT.json</t>
  </si>
  <si>
    <t>AMD Radeon RX 7900 XTX</t>
  </si>
  <si>
    <t>Radeon RX 7900 XTX</t>
  </si>
  <si>
    <t>{"vram_gb": 24, "vram_type": "GDDR6", "memory_bus_bits": 384}</t>
  </si>
  <si>
    <t>Component/GPU/AMD_Radeon_RX_7900_XTX.json</t>
  </si>
  <si>
    <t>AMD Radeon RX 9060 XT 16GB</t>
  </si>
  <si>
    <t>Radeon RX 9060 XT 16GB</t>
  </si>
  <si>
    <t>Component/GPU/AMD_Radeon_RX_9060_XT_16GB.json</t>
  </si>
  <si>
    <t>AMD Radeon RX 9070</t>
  </si>
  <si>
    <t>Radeon RX 9070</t>
  </si>
  <si>
    <t>Component/GPU/AMD_Radeon_RX_9070.json</t>
  </si>
  <si>
    <t>AMD Radeon RX 9070 XT</t>
  </si>
  <si>
    <t>Radeon RX 9070 XT</t>
  </si>
  <si>
    <t>Component/GPU/AMD_Radeon_RX_9070_XT.json</t>
  </si>
  <si>
    <t>EVGA GeForce RTX 2080 Ti XC HYBRID GAMING 11GB (11G-P4-2384-KR)</t>
  </si>
  <si>
    <t>EVGA</t>
  </si>
  <si>
    <t>GeForce RTX 2080 Ti XC HYBRID GAMING</t>
  </si>
  <si>
    <t>{"chipset": "NVIDIA GeForce RTX 2080 Ti", "gpu_codename": "TU102", "architecture": "Turing", "manufacturing_nm": 12, "cuda_or_shader_cores": 4352, "rt_cores": 68, "tensor_cores": 544, "tmu": 272, "rop": 88, "base_mhz": 1350, "boost_mhz": 1635, "vram_gb": 11, "vram_mb": 11264, "vram_type": "GDDR6", "memory_bus_bits": 352, "memory_effective_gbps": 14, "bandwidth_gbs": 616, "pcie_version": "3.0", "pcie_lanes": 16, "tgp_w": 250, "length_mm": 265.63, "height_mm": 113.65, "thickness_slots": 2, "power_connectors": ["PCIe 8-pin", "PCIe 8-pin"], "video_outputs": ["DisplayPort 1.4 x3", "HDMI 2.0b x1", "USB-C VirtualLink x1"], "cooling": {"type": "Hybrid AIO liquide GPU + ventilateur dédié VRM/mémoire", "radiator_mm": 120, "radiator_fan_count": 1, "pump_integrated": true, "closed_loop": true, "additional_mount_required": true}, "backplate": "metal", "rgb": true, "max_displays": 4, "max_digital_resolution": "7680 x 4320", "nvlink": "2-way", "directx": "12", "vulkan": true, "opengl": "4.x", "cuda_compute_capability": "7.5", "recommended_system_psu_w": 650}</t>
  </si>
  <si>
    <t>Component/GPU/EVGA_RTX_2080_Ti_XC_HYBRID_GAMING_11G-P4-2384-KR.json</t>
  </si>
  <si>
    <t>Assets/GPU/EVGA_RTX_2080_Ti_XC_HYBRID_GAMING_11G-P4-2384-KR.jpg</t>
  </si>
  <si>
    <t>NVIDIA GeForce RTX 2060 SUPER</t>
  </si>
  <si>
    <t>NVIDIA</t>
  </si>
  <si>
    <t>GeForce RTX 2060 SUPER</t>
  </si>
  <si>
    <t>Component/GPU/NVIDIA_GeForce_RTX_2060_SUPER.json</t>
  </si>
  <si>
    <t>NVIDIA GeForce RTX 2070</t>
  </si>
  <si>
    <t>GeForce RTX 2070</t>
  </si>
  <si>
    <t>Component/GPU/NVIDIA_GeForce_RTX_2070.json</t>
  </si>
  <si>
    <t>NVIDIA GeForce RTX 2070 SUPER</t>
  </si>
  <si>
    <t>GeForce RTX 2070 SUPER</t>
  </si>
  <si>
    <t>Component/GPU/NVIDIA_GeForce_RTX_2070_SUPER.json</t>
  </si>
  <si>
    <t>NVIDIA GeForce RTX 2080</t>
  </si>
  <si>
    <t>GeForce RTX 2080</t>
  </si>
  <si>
    <t>Component/GPU/NVIDIA_GeForce_RTX_2080.json</t>
  </si>
  <si>
    <t>NVIDIA GeForce RTX 2080 SUPER</t>
  </si>
  <si>
    <t>GeForce RTX 2080 SUPER</t>
  </si>
  <si>
    <t>Component/GPU/NVIDIA_GeForce_RTX_2080_SUPER.json</t>
  </si>
  <si>
    <t>NVIDIA GeForce RTX 2080 Ti</t>
  </si>
  <si>
    <t>GeForce RTX 2080 Ti</t>
  </si>
  <si>
    <t>{"vram_gb": 11, "vram_type": "GDDR6", "memory_bus_bits": 352}</t>
  </si>
  <si>
    <t>Component/GPU/NVIDIA_GeForce_RTX_2080_Ti.json</t>
  </si>
  <si>
    <t>NVIDIA GeForce RTX 3060</t>
  </si>
  <si>
    <t>GeForce RTX 3060</t>
  </si>
  <si>
    <t>Component/GPU/NVIDIA_GeForce_RTX_3060.json</t>
  </si>
  <si>
    <t>NVIDIA GeForce RTX 3060 Ti</t>
  </si>
  <si>
    <t>GeForce RTX 3060 Ti</t>
  </si>
  <si>
    <t>Component/GPU/NVIDIA_GeForce_RTX_3060_Ti.json</t>
  </si>
  <si>
    <t>NVIDIA GeForce RTX 3070</t>
  </si>
  <si>
    <t>GeForce RTX 3070</t>
  </si>
  <si>
    <t>Component/GPU/NVIDIA_GeForce_RTX_3070.json</t>
  </si>
  <si>
    <t>NVIDIA GeForce RTX 3070 Ti</t>
  </si>
  <si>
    <t>GeForce RTX 3070 Ti</t>
  </si>
  <si>
    <t>{"vram_gb": 8, "vram_type": "GDDR6X", "memory_bus_bits": 256}</t>
  </si>
  <si>
    <t>Component/GPU/NVIDIA_GeForce_RTX_3070_Ti.json</t>
  </si>
  <si>
    <t>NVIDIA GeForce RTX 3080</t>
  </si>
  <si>
    <t>GeForce RTX 3080</t>
  </si>
  <si>
    <t>{"vram_gb": 10, "vram_type": "GDDR6X", "memory_bus_bits": 320}</t>
  </si>
  <si>
    <t>Component/GPU/NVIDIA_GeForce_RTX_3080.json</t>
  </si>
  <si>
    <t>NVIDIA GeForce RTX 3080 Ti</t>
  </si>
  <si>
    <t>GeForce RTX 3080 Ti</t>
  </si>
  <si>
    <t>{"vram_gb": 12, "vram_type": "GDDR6X", "memory_bus_bits": 384}</t>
  </si>
  <si>
    <t>Component/GPU/NVIDIA_GeForce_RTX_3080_Ti.json</t>
  </si>
  <si>
    <t>NVIDIA GeForce RTX 3090</t>
  </si>
  <si>
    <t>GeForce RTX 3090</t>
  </si>
  <si>
    <t>{"vram_gb": 24, "vram_type": "GDDR6X", "memory_bus_bits": 384}</t>
  </si>
  <si>
    <t>Component/GPU/NVIDIA_GeForce_RTX_3090.json</t>
  </si>
  <si>
    <t>NVIDIA GeForce RTX 3090 Ti</t>
  </si>
  <si>
    <t>GeForce RTX 3090 Ti</t>
  </si>
  <si>
    <t>Component/GPU/NVIDIA_GeForce_RTX_3090_Ti.json</t>
  </si>
  <si>
    <t>NVIDIA GeForce RTX 4060 Ti 16GB</t>
  </si>
  <si>
    <t>GeForce RTX 4060 Ti 16GB</t>
  </si>
  <si>
    <t>Component/GPU/NVIDIA_GeForce_RTX_4060_Ti_16GB.json</t>
  </si>
  <si>
    <t>NVIDIA GeForce RTX 4070</t>
  </si>
  <si>
    <t>GeForce RTX 4070</t>
  </si>
  <si>
    <t>{"vram_gb": 12, "vram_type": "GDDR6X", "memory_bus_bits": 192}</t>
  </si>
  <si>
    <t>Component/GPU/NVIDIA_GeForce_RTX_4070.json</t>
  </si>
  <si>
    <t>NVIDIA GeForce RTX 4070 SUPER</t>
  </si>
  <si>
    <t>GeForce RTX 4070 SUPER</t>
  </si>
  <si>
    <t>Component/GPU/NVIDIA_GeForce_RTX_4070_SUPER.json</t>
  </si>
  <si>
    <t>NVIDIA GeForce RTX 4070 Ti</t>
  </si>
  <si>
    <t>GeForce RTX 4070 Ti</t>
  </si>
  <si>
    <t>Component/GPU/NVIDIA_GeForce_RTX_4070_Ti.json</t>
  </si>
  <si>
    <t>NVIDIA GeForce RTX 4070 Ti SUPER</t>
  </si>
  <si>
    <t>GeForce RTX 4070 Ti SUPER</t>
  </si>
  <si>
    <t>{"vram_gb": 16, "vram_type": "GDDR6X", "memory_bus_bits": 256}</t>
  </si>
  <si>
    <t>Component/GPU/NVIDIA_GeForce_RTX_4070_Ti_SUPER.json</t>
  </si>
  <si>
    <t>NVIDIA GeForce RTX 4080</t>
  </si>
  <si>
    <t>GeForce RTX 4080</t>
  </si>
  <si>
    <t>Component/GPU/NVIDIA_GeForce_RTX_4080.json</t>
  </si>
  <si>
    <t>NVIDIA GeForce RTX 4080 SUPER</t>
  </si>
  <si>
    <t>GeForce RTX 4080 SUPER</t>
  </si>
  <si>
    <t>Component/GPU/NVIDIA_GeForce_RTX_4080_SUPER.json</t>
  </si>
  <si>
    <t>NVIDIA GeForce RTX 4090</t>
  </si>
  <si>
    <t>GeForce RTX 4090</t>
  </si>
  <si>
    <t>Component/GPU/NVIDIA_GeForce_RTX_4090.json</t>
  </si>
  <si>
    <t>ASRock B550M-ITX/ac</t>
  </si>
  <si>
    <t>ASRock</t>
  </si>
  <si>
    <t>B550M-ITX/ac</t>
  </si>
  <si>
    <t>{"form_factor": "Mini-ITX", "socket": "AM4", "chipset": "B550", "memory_type": "DDR4", "pcie_minimum_generation": 3, "pcie_generation_exact": null}</t>
  </si>
  <si>
    <t>Component/Motherboard/ASRock_B550M-ITX_ac.json</t>
  </si>
  <si>
    <t>ASRock B550M Pro4</t>
  </si>
  <si>
    <t>B550M Pro4</t>
  </si>
  <si>
    <t>{"form_factor": "mATX", "socket": "AM4", "chipset": "B550", "memory_type": "DDR4", "pcie_minimum_generation": 3, "pcie_generation_exact": null}</t>
  </si>
  <si>
    <t>Component/Motherboard/ASRock_B550M_Pro4.json</t>
  </si>
  <si>
    <t>ASRock B650I Lightning WiFi</t>
  </si>
  <si>
    <t>B650I Lightning WiFi</t>
  </si>
  <si>
    <t>{"form_factor": "Mini-ITX", "socket": "AM5", "chipset": "B650", "memory_type": "DDR5", "pcie_minimum_generation": 3, "pcie_generation_exact": null}</t>
  </si>
  <si>
    <t>Component/Motherboard/ASRock_B650I_Lightning_WiFi.json</t>
  </si>
  <si>
    <t>ASRock B760M Steel Legend WiFi</t>
  </si>
  <si>
    <t>B760M Steel Legend WiFi</t>
  </si>
  <si>
    <t>{"form_factor": "mATX", "socket": "LGA1700", "chipset": "B760", "memory_type": "DDR5", "pcie_minimum_generation": 3, "pcie_generation_exact": null}</t>
  </si>
  <si>
    <t>Component/Motherboard/ASRock_B760M_Steel_Legend_WiFi.json</t>
  </si>
  <si>
    <t>ASRock X570 Taichi</t>
  </si>
  <si>
    <t>X570 Taichi</t>
  </si>
  <si>
    <t>{"form_factor": "ATX", "socket": "AM4", "chipset": "X570", "memory_type": "DDR4", "pcie_minimum_generation": 3, "pcie_generation_exact": null}</t>
  </si>
  <si>
    <t>Component/Motherboard/ASRock_X570_Taichi.json</t>
  </si>
  <si>
    <t>ASRock X670E Steel Legend</t>
  </si>
  <si>
    <t>X670E Steel Legend</t>
  </si>
  <si>
    <t>{"form_factor": "ATX", "socket": "AM5", "chipset": "X670E", "memory_type": "DDR5", "pcie_minimum_generation": 3, "pcie_generation_exact": null}</t>
  </si>
  <si>
    <t>Component/Motherboard/ASRock_X670E_Steel_Legend.json</t>
  </si>
  <si>
    <t>ASUS PRIME B450M-A II</t>
  </si>
  <si>
    <t>ASUS</t>
  </si>
  <si>
    <t>PRIME B450M-A II</t>
  </si>
  <si>
    <t>{"form_factor": "mATX", "socket": "AM4", "chipset": "B450", "memory_type": "DDR4", "pcie_minimum_generation": 3, "pcie_generation_exact": null}</t>
  </si>
  <si>
    <t>Component/Motherboard/ASUS_PRIME_B450M-A_II.json</t>
  </si>
  <si>
    <t>ASUS PRIME B550-PLUS</t>
  </si>
  <si>
    <t>PRIME B550-PLUS</t>
  </si>
  <si>
    <t>{"form_factor": "ATX", "socket": "AM4", "chipset": "B550", "memory_type": "DDR4", "pcie_minimum_generation": 3, "pcie_generation_exact": null}</t>
  </si>
  <si>
    <t>Component/Motherboard/ASUS_PRIME_B550-PLUS.json</t>
  </si>
  <si>
    <t>ASUS PRIME B760M-A WIFI D4</t>
  </si>
  <si>
    <t>PRIME B760M-A WIFI D4</t>
  </si>
  <si>
    <t>{"form_factor": "mATX", "socket": "LGA1700", "chipset": "B760", "memory_type": "DDR4", "pcie_minimum_generation": 3, "pcie_generation_exact": null}</t>
  </si>
  <si>
    <t>Component/Motherboard/ASUS_PRIME_B760M-A_WIFI_D4.json</t>
  </si>
  <si>
    <t>ASUS ProArt B550-CREATOR</t>
  </si>
  <si>
    <t>ProArt B550-CREATOR</t>
  </si>
  <si>
    <t>Component/Motherboard/ASUS_ProArt_B550-CREATOR.json</t>
  </si>
  <si>
    <t>ASUS ProArt X670E-CREATOR WIFI</t>
  </si>
  <si>
    <t>ProArt X670E-CREATOR WIFI</t>
  </si>
  <si>
    <t>Component/Motherboard/ASUS_ProArt_X670E-CREATOR_WIFI.json</t>
  </si>
  <si>
    <t>ASUS ROG MAXIMUS Z790 HERO</t>
  </si>
  <si>
    <t>ROG MAXIMUS Z790 HERO</t>
  </si>
  <si>
    <t>{"form_factor": "ATX", "socket": "LGA1700", "chipset": "Z790", "memory_type": "DDR5", "pcie_minimum_generation": 3, "pcie_generation_exact": null}</t>
  </si>
  <si>
    <t>Component/Motherboard/ASUS_ROG_MAXIMUS_Z790_HERO.json</t>
  </si>
  <si>
    <t>ASUS ROG STRIX B550-I GAMING</t>
  </si>
  <si>
    <t>ROG STRIX B550-I GAMING</t>
  </si>
  <si>
    <t>Component/Motherboard/ASUS_ROG_STRIX_B550-I_GAMING.json</t>
  </si>
  <si>
    <t>ASUS ROG STRIX B650E-I GAMING WIFI</t>
  </si>
  <si>
    <t>ROG STRIX B650E-I GAMING WIFI</t>
  </si>
  <si>
    <t>{"form_factor": "Mini-ITX", "socket": "AM5", "chipset": "B650E", "memory_type": "DDR5", "pcie_minimum_generation": 3, "pcie_generation_exact": null}</t>
  </si>
  <si>
    <t>Component/Motherboard/ASUS_ROG_STRIX_B650E-I_GAMING_WIFI.json</t>
  </si>
  <si>
    <t>ASUS ROG STRIX Z790-I GAMING WIFI</t>
  </si>
  <si>
    <t>ROG STRIX Z790-I GAMING WIFI</t>
  </si>
  <si>
    <t>{"form_factor": "Mini-ITX", "socket": "LGA1700", "chipset": "Z790", "memory_type": "DDR5", "pcie_minimum_generation": 3, "pcie_generation_exact": null}</t>
  </si>
  <si>
    <t>Component/Motherboard/ASUS_ROG_STRIX_Z790-I_GAMING_WIFI.json</t>
  </si>
  <si>
    <t>ASUS TUF B450M-PLUS GAMING</t>
  </si>
  <si>
    <t>TUF B450M-PLUS GAMING</t>
  </si>
  <si>
    <t>{"form_factor": "Micro-ATX", "socket": "AM4", "chipset": "AMD B450", "bios_version": null, "ram_slots": 4}</t>
  </si>
  <si>
    <t>Component/Motherboard/ASUS_TUF_B450M_PLUS_GAMING.json</t>
  </si>
  <si>
    <t>ASUS TUF GAMING B550M-PLUS</t>
  </si>
  <si>
    <t>TUF GAMING B550M-PLUS</t>
  </si>
  <si>
    <t>Component/Motherboard/ASUS_TUF_GAMING_B550M-PLUS.json</t>
  </si>
  <si>
    <t>ASUS TUF GAMING X570-PLUS (WI-FI)</t>
  </si>
  <si>
    <t>TUF GAMING X570-PLUS (WI-FI)</t>
  </si>
  <si>
    <t>Component/Motherboard/ASUS_TUF_GAMING_X570-PLUS_WI-FI.json</t>
  </si>
  <si>
    <t>Gigabyte B550I AORUS PRO AX</t>
  </si>
  <si>
    <t>Gigabyte</t>
  </si>
  <si>
    <t>B550I AORUS PRO AX</t>
  </si>
  <si>
    <t>Component/Motherboard/Gigabyte_B550I_AORUS_PRO_AX.json</t>
  </si>
  <si>
    <t>Gigabyte B550M DS3H</t>
  </si>
  <si>
    <t>B550M DS3H</t>
  </si>
  <si>
    <t>Component/Motherboard/Gigabyte_B550M_DS3H.json</t>
  </si>
  <si>
    <t>Gigabyte B550 AORUS ELITE V2</t>
  </si>
  <si>
    <t>B550 AORUS ELITE V2</t>
  </si>
  <si>
    <t>Component/Motherboard/Gigabyte_B550_AORUS_ELITE_V2.json</t>
  </si>
  <si>
    <t>Gigabyte B650I AORUS ULTRA</t>
  </si>
  <si>
    <t>B650I AORUS ULTRA</t>
  </si>
  <si>
    <t>Component/Motherboard/Gigabyte_B650I_AORUS_ULTRA.json</t>
  </si>
  <si>
    <t>Gigabyte B760M DS3H DDR4</t>
  </si>
  <si>
    <t>B760M DS3H DDR4</t>
  </si>
  <si>
    <t>Component/Motherboard/Gigabyte_B760M_DS3H_DDR4.json</t>
  </si>
  <si>
    <t>Gigabyte X670 AORUS ELITE AX</t>
  </si>
  <si>
    <t>X670 AORUS ELITE AX</t>
  </si>
  <si>
    <t>{"form_factor": "ATX", "socket": "AM5", "chipset": "X670", "memory_type": "DDR5", "pcie_minimum_generation": 3, "pcie_generation_exact": null}</t>
  </si>
  <si>
    <t>Component/Motherboard/Gigabyte_X670_AORUS_ELITE_AX.json</t>
  </si>
  <si>
    <t>MSI B550-A PRO</t>
  </si>
  <si>
    <t>MSI</t>
  </si>
  <si>
    <t>B550-A PRO</t>
  </si>
  <si>
    <t>Component/Motherboard/MSI_B550-A_PRO.json</t>
  </si>
  <si>
    <t>MSI B550M PRO-VDH WIFI</t>
  </si>
  <si>
    <t>B550M PRO-VDH WIFI</t>
  </si>
  <si>
    <t>Component/Motherboard/MSI_B550M_PRO-VDH_WIFI.json</t>
  </si>
  <si>
    <t>MSI MAG B550M MORTAR</t>
  </si>
  <si>
    <t>MAG B550M MORTAR</t>
  </si>
  <si>
    <t>Component/Motherboard/MSI_MAG_B550M_MORTAR.json</t>
  </si>
  <si>
    <t>MSI MAG X570 TOMAHAWK WIFI</t>
  </si>
  <si>
    <t>MAG X570 TOMAHAWK WIFI</t>
  </si>
  <si>
    <t>Component/Motherboard/MSI_MAG_X570_TOMAHAWK_WIFI.json</t>
  </si>
  <si>
    <t>MSI MPG B760I EDGE WIFI</t>
  </si>
  <si>
    <t>MPG B760I EDGE WIFI</t>
  </si>
  <si>
    <t>{"form_factor": "Mini-ITX", "socket": "LGA1700", "chipset": "B760", "memory_type": "DDR5", "pcie_minimum_generation": 3, "pcie_generation_exact": null}</t>
  </si>
  <si>
    <t>Component/Motherboard/MSI_MPG_B760I_EDGE_WIFI.json</t>
  </si>
  <si>
    <t>MSI PRO B760M-A WIFI DDR4</t>
  </si>
  <si>
    <t>PRO B760M-A WIFI DDR4</t>
  </si>
  <si>
    <t>Component/Motherboard/MSI_PRO_B760M-A_WIFI_DDR4.json</t>
  </si>
  <si>
    <t>MSI PRO Z790-A WIFI</t>
  </si>
  <si>
    <t>PRO Z790-A WIFI</t>
  </si>
  <si>
    <t>Component/Motherboard/MSI_PRO_Z790-A_WIFI.json</t>
  </si>
  <si>
    <t>Corsair MP700 PRO 2TB</t>
  </si>
  <si>
    <t>Corsair</t>
  </si>
  <si>
    <t>MP700 PRO 2TB</t>
  </si>
  <si>
    <t>{"capacity_gb": 2000, "form_factor": "M.2 2280", "pcie_gen": 5, "sequential_read_mbs": 12400, "sequential_write_mbs": 11800}</t>
  </si>
  <si>
    <t>Component/NVMe/Corsair_MP700_PRO_2TB.json</t>
  </si>
  <si>
    <t>Crucial P3 1TB</t>
  </si>
  <si>
    <t>Crucial</t>
  </si>
  <si>
    <t>P3 1TB</t>
  </si>
  <si>
    <t>{"capacity_gb": 1000, "form_factor": "M.2 2280", "pcie_gen": 3, "sequential_read_mbs": 3500, "sequential_write_mbs": 3000}</t>
  </si>
  <si>
    <t>Component/NVMe/Crucial_P3_1TB.json</t>
  </si>
  <si>
    <t>Crucial P3 Plus 1TB</t>
  </si>
  <si>
    <t>P3 Plus 1TB</t>
  </si>
  <si>
    <t>{"capacity_gb": 1000, "form_factor": "M.2 2280", "pcie_gen": 4, "sequential_read_mbs": 5000, "sequential_write_mbs": 3600}</t>
  </si>
  <si>
    <t>Component/NVMe/Crucial_P3_Plus_1TB.json</t>
  </si>
  <si>
    <t>Crucial P3 Plus 500GB</t>
  </si>
  <si>
    <t>P3 Plus 500GB</t>
  </si>
  <si>
    <t>{"capacity_gb": 500, "form_factor": "M.2 2280", "pcie_gen": 4, "sequential_read_mbs": 4700, "sequential_write_mbs": 1900}</t>
  </si>
  <si>
    <t>Component/NVMe/Crucial_P3_Plus_500GB.json</t>
  </si>
  <si>
    <t>Crucial T700 1TB</t>
  </si>
  <si>
    <t>T700 1TB</t>
  </si>
  <si>
    <t>{"capacity_gb": 1000, "form_factor": "M.2 2280", "pcie_gen": 5, "sequential_read_mbs": 11700, "sequential_write_mbs": 9500}</t>
  </si>
  <si>
    <t>Component/NVMe/Crucial_T700_1TB.json</t>
  </si>
  <si>
    <t>Crucial T700 2TB</t>
  </si>
  <si>
    <t>T700 2TB</t>
  </si>
  <si>
    <t>Component/NVMe/Crucial_T700_2TB.json</t>
  </si>
  <si>
    <t>Samsung 970 EVO Plus 1TB</t>
  </si>
  <si>
    <t>Samsung</t>
  </si>
  <si>
    <t>970 EVO Plus 1TB</t>
  </si>
  <si>
    <t>{"capacity_gb": 1000, "form_factor": "M.2 2280", "pcie_gen": 3, "sequential_read_mbs": 3500, "sequential_write_mbs": 3300}</t>
  </si>
  <si>
    <t>Component/NVMe/Samsung_970_EVO_Plus_1TB.json</t>
  </si>
  <si>
    <t>Samsung 970 EVO Plus 500GB</t>
  </si>
  <si>
    <t>970 EVO Plus 500GB</t>
  </si>
  <si>
    <t>{"capacity_gb": 500, "form_factor": "M.2 2280", "pcie_gen": 3, "sequential_read_mbs": 3500, "sequential_write_mbs": 3200}</t>
  </si>
  <si>
    <t>Component/NVMe/Samsung_970_EVO_Plus_500GB.json</t>
  </si>
  <si>
    <t>Samsung 980 PRO 1TB</t>
  </si>
  <si>
    <t>980 PRO 1TB</t>
  </si>
  <si>
    <t>{"capacity_gb": 1000, "form_factor": "M.2 2280", "pcie_gen": 4, "sequential_read_mbs": 7000, "sequential_write_mbs": 5000}</t>
  </si>
  <si>
    <t>Component/NVMe/Samsung_980_PRO_1TB.json</t>
  </si>
  <si>
    <t>Samsung 990 PRO 1TB</t>
  </si>
  <si>
    <t>990 PRO 1TB</t>
  </si>
  <si>
    <t>{"capacity_gb": 1000, "form_factor": "M.2 2280", "pcie_gen": 4, "sequential_read_mbs": 7450, "sequential_write_mbs": 6900}</t>
  </si>
  <si>
    <t>Component/NVMe/Samsung_990_PRO_1TB.json</t>
  </si>
  <si>
    <t>WD Black SN750 1TB</t>
  </si>
  <si>
    <t>WD</t>
  </si>
  <si>
    <t>Black SN750 1TB</t>
  </si>
  <si>
    <t>{"capacity_gb": 1000, "form_factor": "M.2 2280", "pcie_gen": 3, "sequential_read_mbs": 3470, "sequential_write_mbs": 3000}</t>
  </si>
  <si>
    <t>Component/NVMe/WD_Black_SN750_1TB.json</t>
  </si>
  <si>
    <t>WD Black SN850X 1TB</t>
  </si>
  <si>
    <t>Black SN850X 1TB</t>
  </si>
  <si>
    <t>{"capacity_gb": 1000, "form_factor": "M.2 2280", "pcie_gen": 4, "sequential_read_mbs": 7300, "sequential_write_mbs": 6300}</t>
  </si>
  <si>
    <t>Component/NVMe/WD_Black_SN850X_1TB.json</t>
  </si>
  <si>
    <t>WD Black SN850X 2TB</t>
  </si>
  <si>
    <t>Black SN850X 2TB</t>
  </si>
  <si>
    <t>{"capacity_gb": 2000, "form_factor": "M.2 2280", "pcie_gen": 4, "sequential_read_mbs": 7300, "sequential_write_mbs": 6600}</t>
  </si>
  <si>
    <t>Component/NVMe/WD_Black_SN850X_2TB.json</t>
  </si>
  <si>
    <t>Crucial MX500 1TB</t>
  </si>
  <si>
    <t>MX500 1TB</t>
  </si>
  <si>
    <t>{"capacity_gb": 1000, "interface": "SATA III 6Gb/s", "form_factor": "2.5 inch", "sequential_read_mbs": 560, "sequential_write_mbs": 510}</t>
  </si>
  <si>
    <t>Component/SDD/Crucial_MX500_1TB.json</t>
  </si>
  <si>
    <t>Crucial MX500 250GB</t>
  </si>
  <si>
    <t>MX500 250GB</t>
  </si>
  <si>
    <t>{"capacity_gb": 250, "interface": "SATA III 6Gb/s", "form_factor": "2.5 inch", "sequential_read_mbs": 560, "sequential_write_mbs": 510}</t>
  </si>
  <si>
    <t>Component/SDD/Crucial_MX500_250GB.json</t>
  </si>
  <si>
    <t>Crucial MX500 500GB</t>
  </si>
  <si>
    <t>MX500 500GB</t>
  </si>
  <si>
    <t>{"capacity_gb": 500, "interface": "SATA III 6Gb/s", "form_factor": "2.5 inch", "sequential_read_mbs": 560, "sequential_write_mbs": 510}</t>
  </si>
  <si>
    <t>Component/SDD/Crucial_MX500_500GB.json</t>
  </si>
  <si>
    <t>Kingston A400 240GB</t>
  </si>
  <si>
    <t>Kingston</t>
  </si>
  <si>
    <t>A400 240GB</t>
  </si>
  <si>
    <t>{"capacity_gb": 240, "interface": "SATA III 6Gb/s", "form_factor": "2.5 inch", "sequential_read_mbs": 500, "sequential_write_mbs": 350}</t>
  </si>
  <si>
    <t>Component/SDD/Kingston_A400_240GB.json</t>
  </si>
  <si>
    <t>Kingston A400 480GB</t>
  </si>
  <si>
    <t>A400 480GB</t>
  </si>
  <si>
    <t>{"capacity_gb": 480, "interface": "SATA III 6Gb/s", "form_factor": "2.5 inch", "sequential_read_mbs": 500, "sequential_write_mbs": 450}</t>
  </si>
  <si>
    <t>Component/SDD/Kingston_A400_480GB.json</t>
  </si>
  <si>
    <t>Kingston A400 960GB</t>
  </si>
  <si>
    <t>A400 960GB</t>
  </si>
  <si>
    <t>{"capacity_gb": 960, "interface": "SATA III 6Gb/s", "form_factor": "2.5 inch", "sequential_read_mbs": 500, "sequential_write_mbs": 450}</t>
  </si>
  <si>
    <t>Component/SDD/Kingston_A400_960GB.json</t>
  </si>
  <si>
    <t>Samsung 870 EVO 1TB</t>
  </si>
  <si>
    <t>870 EVO 1TB</t>
  </si>
  <si>
    <t>{"capacity_gb": 1000, "interface": "SATA III 6Gb/s", "form_factor": "2.5 inch", "sequential_read_mbs": 560, "sequential_write_mbs": 530}</t>
  </si>
  <si>
    <t>Component/SDD/Samsung_870_EVO_1TB.json</t>
  </si>
  <si>
    <t>Samsung 870 EVO 250GB</t>
  </si>
  <si>
    <t>870 EVO 250GB</t>
  </si>
  <si>
    <t>{"capacity_gb": 250, "interface": "SATA III 6Gb/s", "form_factor": "2.5 inch", "sequential_read_mbs": 560, "sequential_write_mbs": 530}</t>
  </si>
  <si>
    <t>Component/SDD/Samsung_870_EVO_250GB.json</t>
  </si>
  <si>
    <t>Samsung 870 EVO 500GB</t>
  </si>
  <si>
    <t>870 EVO 500GB</t>
  </si>
  <si>
    <t>{"capacity_gb": 500, "interface": "SATA III 6Gb/s", "form_factor": "2.5 inch", "sequential_read_mbs": 560, "sequential_write_mbs": 530}</t>
  </si>
  <si>
    <t>Component/SDD/Samsung_870_EVO_500GB.json</t>
  </si>
  <si>
    <t>Samsung 870 QVO 2TB</t>
  </si>
  <si>
    <t>870 QVO 2TB</t>
  </si>
  <si>
    <t>{"capacity_gb": 2000, "interface": "SATA III 6Gb/s", "form_factor": "2.5 inch", "sequential_read_mbs": 560, "sequential_write_mbs": 530}</t>
  </si>
  <si>
    <t>Component/SDD/Samsung_870_QVO_2TB.json</t>
  </si>
  <si>
    <t>Samsung 870 QVO 4TB</t>
  </si>
  <si>
    <t>870 QVO 4TB</t>
  </si>
  <si>
    <t>{"capacity_gb": 4000, "interface": "SATA III 6Gb/s", "form_factor": "2.5 inch", "sequential_read_mbs": 560, "sequential_write_mbs": 530}</t>
  </si>
  <si>
    <t>Component/SDD/Samsung_870_QVO_4TB.json</t>
  </si>
  <si>
    <t>Cooler Master RS-600-ACAB-B1 600 W</t>
  </si>
  <si>
    <t>Cooler Master</t>
  </si>
  <si>
    <t>RS-600-ACAB-B1</t>
  </si>
  <si>
    <t>{"nominal_w": 600, "modular": false, "pcie_6plus2_count": 2, "certification": null}</t>
  </si>
  <si>
    <t>Component/PSU/Cooler_Master_RS_600_ACAB_B1.json</t>
  </si>
  <si>
    <t>Corsair CX450</t>
  </si>
  <si>
    <t>CX450</t>
  </si>
  <si>
    <t>{"nominal_w": 450, "certification": "80 PLUS Bronze", "modular": "Non modulaire"}</t>
  </si>
  <si>
    <t>Component/PSU/Corsair_CX450.json</t>
  </si>
  <si>
    <t>Corsair CX550M</t>
  </si>
  <si>
    <t>CX550M</t>
  </si>
  <si>
    <t>{"nominal_w": 550, "certification": "80 PLUS Bronze", "modular": "Semi-modulaire"}</t>
  </si>
  <si>
    <t>Component/PSU/Corsair_CX550M.json</t>
  </si>
  <si>
    <t>Corsair RM1000x</t>
  </si>
  <si>
    <t>RM1000x</t>
  </si>
  <si>
    <t>{"nominal_w": 1000, "certification": "80 PLUS Gold", "modular": "Modulaire"}</t>
  </si>
  <si>
    <t>Component/PSU/Corsair_RM1000x.json</t>
  </si>
  <si>
    <t>Corsair RM750e</t>
  </si>
  <si>
    <t>RM750e</t>
  </si>
  <si>
    <t>{"nominal_w": 750, "certification": "80 PLUS Gold", "modular": "Modulaire"}</t>
  </si>
  <si>
    <t>Component/PSU/Corsair_RM750e.json</t>
  </si>
  <si>
    <t>Corsair RM850x</t>
  </si>
  <si>
    <t>RM850x</t>
  </si>
  <si>
    <t>{"nominal_w": 850, "certification": "80 PLUS Gold", "modular": "Modulaire"}</t>
  </si>
  <si>
    <t>Component/PSU/Corsair_RM850x.json</t>
  </si>
  <si>
    <t>Seasonic FOCUS GX-1000</t>
  </si>
  <si>
    <t>Seasonic</t>
  </si>
  <si>
    <t>FOCUS GX-1000</t>
  </si>
  <si>
    <t>Component/PSU/Seasonic_FOCUS_GX-1000.json</t>
  </si>
  <si>
    <t>Seasonic FOCUS GX-750</t>
  </si>
  <si>
    <t>FOCUS GX-750</t>
  </si>
  <si>
    <t>Component/PSU/Seasonic_FOCUS_GX-750.json</t>
  </si>
  <si>
    <t>Seasonic FOCUS GX-850</t>
  </si>
  <si>
    <t>FOCUS GX-850</t>
  </si>
  <si>
    <t>Component/PSU/Seasonic_FOCUS_GX-850.json</t>
  </si>
  <si>
    <t>Seasonic S12III 500</t>
  </si>
  <si>
    <t>S12III 500</t>
  </si>
  <si>
    <t>{"nominal_w": 500, "certification": "80 PLUS Bronze", "modular": "Non modulaire"}</t>
  </si>
  <si>
    <t>Component/PSU/Seasonic_S12III_500.json</t>
  </si>
  <si>
    <t>be quiet! Dark Power 13 1000W</t>
  </si>
  <si>
    <t>be quiet!</t>
  </si>
  <si>
    <t>Dark Power 13 1000W</t>
  </si>
  <si>
    <t>{"nominal_w": 1000, "certification": "80 PLUS Titanium", "modular": "Modulaire"}</t>
  </si>
  <si>
    <t>Component/PSU/be_quiet_Dark_Power_13_1000W.json</t>
  </si>
  <si>
    <t>be quiet! Pure Power 11 600W</t>
  </si>
  <si>
    <t>Pure Power 11 600W</t>
  </si>
  <si>
    <t>{"nominal_w": 600, "certification": "80 PLUS Gold", "modular": "Non modulaire"}</t>
  </si>
  <si>
    <t>Component/PSU/be_quiet_Pure_Power_11_600W.json</t>
  </si>
  <si>
    <t>be quiet! Straight Power 11 750W Platinum</t>
  </si>
  <si>
    <t>Straight Power 11 750W Platinum</t>
  </si>
  <si>
    <t>{"nominal_w": 750, "certification": "80 PLUS Platinum", "modular": "Modulaire"}</t>
  </si>
  <si>
    <t>Component/PSU/be_quiet_Straight_Power_11_750W_Platinum.json</t>
  </si>
  <si>
    <t>be quiet! Straight Power 12 850W Platinum</t>
  </si>
  <si>
    <t>Straight Power 12 850W Platinum</t>
  </si>
  <si>
    <t>{"nominal_w": 850, "certification": "80 PLUS Platinum", "modular": "Modulaire"}</t>
  </si>
  <si>
    <t>Component/PSU/be_quiet_Straight_Power_12_850W_Platinum.json</t>
  </si>
  <si>
    <t>be quiet! System Power 9 400W</t>
  </si>
  <si>
    <t>System Power 9 400W</t>
  </si>
  <si>
    <t>{"nominal_w": 400, "certification": "80 PLUS Bronze", "modular": "Non modulaire"}</t>
  </si>
  <si>
    <t>Component/PSU/be_quiet_System_Power_9_400W.json</t>
  </si>
  <si>
    <t>ASUS G11CD-FR022T — boîtier noir/rouge</t>
  </si>
  <si>
    <t>G11CD-FR022T</t>
  </si>
  <si>
    <t>{"height_mm": 440, "depth_mm": 422, "width_mm": 176, "form_factor": "OEM tower", "color": "Noir / rouge", "optical_bay": true, "front_card_reader": true, "gpu_clearance_mm": null, "side_radiator_support": "Projet de modification AIO 240 mm, non validé"}</t>
  </si>
  <si>
    <t>Component/Case/ASUS_G11CD_FR022T.json</t>
  </si>
  <si>
    <t>ASUS Prime AP201</t>
  </si>
  <si>
    <t>Prime AP201</t>
  </si>
  <si>
    <t>{"supported_form_factors": ["mATX"], "case_form_factor": "mATX"}</t>
  </si>
  <si>
    <t>Component/Case/ASUS_Prime_AP201.json</t>
  </si>
  <si>
    <t>Cooler Master Elite 110</t>
  </si>
  <si>
    <t>Elite 110</t>
  </si>
  <si>
    <t>{"supported_form_factors": ["Mini-ITX"], "case_form_factor": "Mini-ITX"}</t>
  </si>
  <si>
    <t>Component/Case/Cooler_Master_Elite_110.json</t>
  </si>
  <si>
    <t>Cooler Master MasterBox Q300L</t>
  </si>
  <si>
    <t>MasterBox Q300L</t>
  </si>
  <si>
    <t>Component/Case/Cooler_Master_MasterBox_Q300L.json</t>
  </si>
  <si>
    <t>Cooler Master NR200</t>
  </si>
  <si>
    <t>NR200</t>
  </si>
  <si>
    <t>Component/Case/Cooler_Master_NR200.json</t>
  </si>
  <si>
    <t>Corsair 4000D Airflow</t>
  </si>
  <si>
    <t>4000D Airflow</t>
  </si>
  <si>
    <t>{"supported_form_factors": ["ATX"], "case_form_factor": "ATX"}</t>
  </si>
  <si>
    <t>Component/Case/Corsair_4000D_Airflow.json</t>
  </si>
  <si>
    <t>Fractal Design North</t>
  </si>
  <si>
    <t>Fractal Design</t>
  </si>
  <si>
    <t>North</t>
  </si>
  <si>
    <t>Component/Case/Fractal_Design_North.json</t>
  </si>
  <si>
    <t>Fractal Design Pop Mini Air</t>
  </si>
  <si>
    <t>Pop Mini Air</t>
  </si>
  <si>
    <t>Component/Case/Fractal_Design_Pop_Mini_Air.json</t>
  </si>
  <si>
    <t>Fractal Design Ridge</t>
  </si>
  <si>
    <t>Ridge</t>
  </si>
  <si>
    <t>Component/Case/Fractal_Design_Ridge.json</t>
  </si>
  <si>
    <t>Fractal Design Terra</t>
  </si>
  <si>
    <t>Terra</t>
  </si>
  <si>
    <t>Component/Case/Fractal_Design_Terra.json</t>
  </si>
  <si>
    <t>Jonsbo D31 Mesh</t>
  </si>
  <si>
    <t>Jonsbo</t>
  </si>
  <si>
    <t>D31 Mesh</t>
  </si>
  <si>
    <t>Component/Case/Jonsbo_D31_Mesh.json</t>
  </si>
  <si>
    <t>Lian Li A3-mATX</t>
  </si>
  <si>
    <t>Lian Li</t>
  </si>
  <si>
    <t>A3-mATX</t>
  </si>
  <si>
    <t>Component/Case/Lian_Li_A3-mATX.json</t>
  </si>
  <si>
    <t>Lian Li A4-H2O</t>
  </si>
  <si>
    <t>A4-H2O</t>
  </si>
  <si>
    <t>Component/Case/Lian_Li_A4-H2O.json</t>
  </si>
  <si>
    <t>Lian Li O11 Dynamic EVO</t>
  </si>
  <si>
    <t>O11 Dynamic EVO</t>
  </si>
  <si>
    <t>Component/Case/Lian_Li_O11_Dynamic_EVO.json</t>
  </si>
  <si>
    <t>NZXT H5 Flow</t>
  </si>
  <si>
    <t>NZXT</t>
  </si>
  <si>
    <t>H5 Flow</t>
  </si>
  <si>
    <t>Component/Case/NZXT_H5_Flow.json</t>
  </si>
  <si>
    <t>Phanteks Eclipse G360A</t>
  </si>
  <si>
    <t>Phanteks</t>
  </si>
  <si>
    <t>Eclipse G360A</t>
  </si>
  <si>
    <t>Component/Case/Phanteks_Eclipse_G360A.json</t>
  </si>
  <si>
    <t>SilverStone SG13</t>
  </si>
  <si>
    <t>SilverStone</t>
  </si>
  <si>
    <t>SG13</t>
  </si>
  <si>
    <t>Component/Case/SilverStone_SG13.json</t>
  </si>
  <si>
    <t>Thermaltake Core V21</t>
  </si>
  <si>
    <t>Thermaltake</t>
  </si>
  <si>
    <t>Core V21</t>
  </si>
  <si>
    <t>Component/Case/Thermaltake_Core_V21.json</t>
  </si>
  <si>
    <t>be quiet! Pure Base 500</t>
  </si>
  <si>
    <t>Pure Base 500</t>
  </si>
  <si>
    <t>Component/Case/be_quiet_Pure_Base_500.json</t>
  </si>
  <si>
    <t>Corsair Vengeance LPX 16GB 2x8 DDR4-3200 CL16</t>
  </si>
  <si>
    <t>Vengeance LPX 16GB 2x8 DDR4-3200 CL16</t>
  </si>
  <si>
    <t>{"memory_type": "DDR4", "speed_mts": 3200, "cas_latency_cycles": 16, "rgb": false, "kit_capacity_gb": 16, "modules": 2}</t>
  </si>
  <si>
    <t>Component/RAM/Corsair_Vengeance_LPX_16GB_2x8_DDR4-3200_CL16.json</t>
  </si>
  <si>
    <t>Corsair Vengeance LPX 32GB 2x16 DDR4-3600 CL18</t>
  </si>
  <si>
    <t>Vengeance LPX 32GB 2x16 DDR4-3600 CL18</t>
  </si>
  <si>
    <t>{"memory_type": "DDR4", "speed_mts": 3600, "cas_latency_cycles": 18, "rgb": false, "kit_capacity_gb": 32, "modules": 2}</t>
  </si>
  <si>
    <t>Component/RAM/Corsair_Vengeance_LPX_32GB_2x16_DDR4-3600_CL18.json</t>
  </si>
  <si>
    <t>Corsair Vengeance RGB Pro 16GB 2x8 DDR4-3200 CL16</t>
  </si>
  <si>
    <t>Vengeance RGB Pro 16GB 2x8 DDR4-3200 CL16</t>
  </si>
  <si>
    <t>{"memory_type": "DDR4", "speed_mts": 3200, "cas_latency_cycles": 16, "rgb": true, "kit_capacity_gb": 16, "modules": 2}</t>
  </si>
  <si>
    <t>Component/RAM/Corsair_Vengeance_RGB_Pro_16GB_2x8_DDR4-3200_CL16.json</t>
  </si>
  <si>
    <t>Crucial Ballistix 16GB 2x8 DDR4-3000 CL15</t>
  </si>
  <si>
    <t>Ballistix 16GB 2x8 DDR4-3000 CL15</t>
  </si>
  <si>
    <t>{"memory_type": "DDR4", "speed_mts": 3000, "cas_latency_cycles": 15, "rgb": false, "kit_capacity_gb": 16, "modules": 2}</t>
  </si>
  <si>
    <t>Component/RAM/Crucial_Ballistix_16GB_2x8_DDR4-3000_CL15.json</t>
  </si>
  <si>
    <t>G.Skill Ripjaws V 16GB 2x8 DDR4-3200 CL16</t>
  </si>
  <si>
    <t>G.Skill</t>
  </si>
  <si>
    <t>Ripjaws V 16GB 2x8 DDR4-3200 CL16</t>
  </si>
  <si>
    <t>Component/RAM/G_Skill_Ripjaws_V_16GB_2x8_DDR4-3200_CL16.json</t>
  </si>
  <si>
    <t>G.Skill Trident Z Neo 32GB 2x16 DDR4-3600 CL16</t>
  </si>
  <si>
    <t>Trident Z Neo 32GB 2x16 DDR4-3600 CL16</t>
  </si>
  <si>
    <t>{"memory_type": "DDR4", "speed_mts": 3600, "cas_latency_cycles": 16, "rgb": true, "kit_capacity_gb": 32, "modules": 2}</t>
  </si>
  <si>
    <t>Component/RAM/G_Skill_Trident_Z_Neo_32GB_2x16_DDR4-3600_CL16.json</t>
  </si>
  <si>
    <t>G.Skill Trident Z RGB 16GB 2x8 DDR4-3600 CL16</t>
  </si>
  <si>
    <t>Trident Z RGB 16GB 2x8 DDR4-3600 CL16</t>
  </si>
  <si>
    <t>{"memory_type": "DDR4", "speed_mts": 3600, "cas_latency_cycles": 16, "rgb": true, "kit_capacity_gb": 16, "modules": 2}</t>
  </si>
  <si>
    <t>Component/RAM/G_Skill_Trident_Z_RGB_16GB_2x8_DDR4-3600_CL16.json</t>
  </si>
  <si>
    <t>Kingston FURY Beast 16GB 2x8 DDR4-3200 CL16</t>
  </si>
  <si>
    <t>FURY Beast 16GB 2x8 DDR4-3200 CL16</t>
  </si>
  <si>
    <t>Component/RAM/Kingston_FURY_Beast_16GB_2x8_DDR4-3200_CL16.json</t>
  </si>
  <si>
    <t>Kingston FURY Beast RGB 16GB 2x8 DDR4-3600 CL18</t>
  </si>
  <si>
    <t>FURY Beast RGB 16GB 2x8 DDR4-3600 CL18</t>
  </si>
  <si>
    <t>{"memory_type": "DDR4", "speed_mts": 3600, "cas_latency_cycles": 18, "rgb": true, "kit_capacity_gb": 16, "modules": 2}</t>
  </si>
  <si>
    <t>Component/RAM/Kingston_FURY_Beast_RGB_16GB_2x8_DDR4-3600_CL18.json</t>
  </si>
  <si>
    <t>BUDGET / G11CD</t>
  </si>
  <si>
    <t>Montant €</t>
  </si>
  <si>
    <t>Définition</t>
  </si>
  <si>
    <t>Précision</t>
  </si>
  <si>
    <t>Pièces payées sans livraison</t>
  </si>
  <si>
    <t>Livraison associée aux achats</t>
  </si>
  <si>
    <t>SOUS-TOTAL</t>
  </si>
  <si>
    <t>Frais de livraison</t>
  </si>
  <si>
    <t>TOTAL AVEC LIVRAISON</t>
  </si>
  <si>
    <t>Estimation des références</t>
  </si>
  <si>
    <t>Prix acquisition uniquement</t>
  </si>
  <si>
    <t>Port des pièces dont acquisition renseignée</t>
  </si>
  <si>
    <t>Occasion si renseignée, sinon neuf</t>
  </si>
  <si>
    <t>MODE D'EMPLOI</t>
  </si>
  <si>
    <t>Aide</t>
  </si>
  <si>
    <t>1 · Ajouter</t>
  </si>
  <si>
    <t>Créer Component/&lt;Categorie&gt;/&lt;Reference&gt;.json</t>
  </si>
  <si>
    <t>2 · Renseigner</t>
  </si>
  <si>
    <t>Ajouter full_name, status, specifications, performance, pricing et sources.</t>
  </si>
  <si>
    <t>3 · Photo</t>
  </si>
  <si>
    <t>Mettre Assets/&lt;Categorie&gt;/&lt;Reference&gt;.jpg ou .png, même nom de base.</t>
  </si>
  <si>
    <t>4 · Régénérer</t>
  </si>
  <si>
    <t>python3 scripts/sync_components.py</t>
  </si>
  <si>
    <t>5 · Lire</t>
  </si>
  <si>
    <t>Ouvrir Configuration.xlsx avec LibreOffice Calc.</t>
  </si>
  <si>
    <t>Nouveaux candidats</t>
  </si>
  <si>
    <t>Prix de marché ≠ prix payé; un candidat n'est pas un achat.</t>
  </si>
  <si>
    <t>Mesures vérifiables</t>
  </si>
  <si>
    <t>Préciser jeu, résolution, preset, pilote, source et date des benchmarks.</t>
  </si>
  <si>
    <t>Note</t>
  </si>
  <si>
    <t>Toute édition manuelle du XLSX est perdue à la prochaine synchronisation.</t>
  </si>
</sst>
</file>

<file path=xl/styles.xml><?xml version="1.0" encoding="utf-8"?>
<styleSheet xmlns="http://schemas.openxmlformats.org/spreadsheetml/2006/main">
  <numFmts count="1">
    <numFmt numFmtId="164" formatCode="#,##0.00 &quot;€&quot;"/>
  </numFmts>
  <fonts count="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rgb="FF202A3F"/>
      <name val="Calibri"/>
      <family val="2"/>
      <scheme val="minor"/>
    </font>
    <font>
      <b/>
      <sz val="18"/>
      <color rgb="FFC9253A"/>
      <name val="Calibri"/>
      <family val="2"/>
      <scheme val="minor"/>
    </font>
    <font>
      <i/>
      <sz val="11"/>
      <color rgb="FF65748B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F1421"/>
        <bgColor indexed="64"/>
      </patternFill>
    </fill>
    <fill>
      <patternFill patternType="solid">
        <fgColor rgb="FFEEF2F8"/>
        <bgColor indexed="64"/>
      </patternFill>
    </fill>
    <fill>
      <patternFill patternType="solid">
        <fgColor rgb="FFC9253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C9253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164" fontId="4" fillId="0" borderId="0" xfId="0" applyNumberFormat="1" applyFont="1"/>
    <xf numFmtId="0" fontId="3" fillId="3" borderId="0" xfId="0" applyFont="1" applyFill="1" applyAlignment="1">
      <alignment vertical="center"/>
    </xf>
    <xf numFmtId="0" fontId="5" fillId="0" borderId="0" xfId="0" applyFont="1"/>
    <xf numFmtId="164" fontId="3" fillId="0" borderId="0" xfId="0" applyNumberFormat="1" applyFont="1"/>
    <xf numFmtId="164" fontId="3" fillId="3" borderId="0" xfId="0" applyNumberFormat="1" applyFont="1" applyFill="1"/>
    <xf numFmtId="0" fontId="6" fillId="4" borderId="0" xfId="0" applyFont="1" applyFill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188467"/>
      </font>
      <fill>
        <patternFill>
          <bgColor rgb="FFDFF7E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Références par famille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Références</c:v>
          </c:tx>
          <c:spPr>
            <a:solidFill>
              <a:srgbClr val="C9253A"/>
            </a:solidFill>
            <a:ln>
              <a:noFill/>
            </a:ln>
          </c:spPr>
          <c:cat>
            <c:strRef>
              <c:f>'TABLEAU DE BORD'!$A$15:$A$24</c:f>
              <c:strCache>
                <c:ptCount val="10"/>
                <c:pt idx="0">
                  <c:v>CPU</c:v>
                </c:pt>
                <c:pt idx="1">
                  <c:v>GPU</c:v>
                </c:pt>
                <c:pt idx="2">
                  <c:v>Motherboard</c:v>
                </c:pt>
                <c:pt idx="3">
                  <c:v>NVMe</c:v>
                </c:pt>
                <c:pt idx="4">
                  <c:v>SDD</c:v>
                </c:pt>
                <c:pt idx="5">
                  <c:v>PSU</c:v>
                </c:pt>
                <c:pt idx="6">
                  <c:v>Extra</c:v>
                </c:pt>
                <c:pt idx="7">
                  <c:v>Case</c:v>
                </c:pt>
                <c:pt idx="8">
                  <c:v>RAM</c:v>
                </c:pt>
                <c:pt idx="9">
                  <c:v>Cooling</c:v>
                </c:pt>
              </c:strCache>
            </c:strRef>
          </c:cat>
          <c:val>
            <c:numRef>
              <c:f>'TABLEAU DE BORD'!$B$15:$B$24</c:f>
              <c:numCache>
                <c:formatCode>General</c:formatCode>
                <c:ptCount val="10"/>
                <c:pt idx="0">
                  <c:v>34</c:v>
                </c:pt>
                <c:pt idx="1">
                  <c:v>46</c:v>
                </c:pt>
                <c:pt idx="2">
                  <c:v>31</c:v>
                </c:pt>
                <c:pt idx="3">
                  <c:v>13</c:v>
                </c:pt>
                <c:pt idx="4">
                  <c:v>11</c:v>
                </c:pt>
                <c:pt idx="5">
                  <c:v>15</c:v>
                </c:pt>
                <c:pt idx="6">
                  <c:v>0</c:v>
                </c:pt>
                <c:pt idx="7">
                  <c:v>19</c:v>
                </c:pt>
                <c:pt idx="8">
                  <c:v>9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8</xdr:col>
      <xdr:colOff>647700</xdr:colOff>
      <xdr:row>20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9253A"/>
  </sheetPr>
  <dimension ref="A1:L29"/>
  <sheetViews>
    <sheetView showGridLines="0" tabSelected="1" workbookViewId="0"/>
  </sheetViews>
  <sheetFormatPr defaultRowHeight="15"/>
  <cols>
    <col min="1" max="1" width="31.7109375" customWidth="1"/>
    <col min="2" max="2" width="22.7109375" customWidth="1"/>
    <col min="3" max="3" width="15.7109375" customWidth="1"/>
    <col min="4" max="4" width="22.7109375" customWidth="1"/>
    <col min="5" max="5" width="20.7109375" customWidth="1"/>
    <col min="6" max="12" width="13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1</v>
      </c>
    </row>
    <row r="5" spans="1:12">
      <c r="A5" s="3" t="s">
        <v>2</v>
      </c>
      <c r="B5" s="4">
        <v>178</v>
      </c>
    </row>
    <row r="6" spans="1:12">
      <c r="A6" s="3" t="s">
        <v>3</v>
      </c>
      <c r="B6" s="4">
        <v>4</v>
      </c>
    </row>
    <row r="7" spans="1:12">
      <c r="A7" s="3" t="s">
        <v>4</v>
      </c>
      <c r="B7" s="4">
        <v>174</v>
      </c>
    </row>
    <row r="8" spans="1:12">
      <c r="A8" s="3" t="s">
        <v>5</v>
      </c>
      <c r="B8" s="4">
        <v>0</v>
      </c>
    </row>
    <row r="10" spans="1:12">
      <c r="A10" s="3" t="s">
        <v>6</v>
      </c>
      <c r="B10" s="5">
        <f>BUDGET!B4</f>
        <v>0</v>
      </c>
    </row>
    <row r="11" spans="1:12">
      <c r="A11" s="3" t="s">
        <v>7</v>
      </c>
      <c r="B11" s="5">
        <f>BUDGET!B6</f>
        <v>0</v>
      </c>
    </row>
    <row r="14" spans="1:12">
      <c r="A14" s="2" t="s">
        <v>8</v>
      </c>
      <c r="B14" s="2" t="s">
        <v>2</v>
      </c>
    </row>
    <row r="15" spans="1:12">
      <c r="A15" s="6" t="s">
        <v>9</v>
      </c>
      <c r="B15" s="4">
        <v>34</v>
      </c>
    </row>
    <row r="16" spans="1:12">
      <c r="A16" s="3" t="s">
        <v>10</v>
      </c>
      <c r="B16" s="4">
        <v>46</v>
      </c>
    </row>
    <row r="17" spans="1:2">
      <c r="A17" s="6" t="s">
        <v>11</v>
      </c>
      <c r="B17" s="4">
        <v>31</v>
      </c>
    </row>
    <row r="18" spans="1:2">
      <c r="A18" s="3" t="s">
        <v>12</v>
      </c>
      <c r="B18" s="4">
        <v>13</v>
      </c>
    </row>
    <row r="19" spans="1:2">
      <c r="A19" s="6" t="s">
        <v>13</v>
      </c>
      <c r="B19" s="4">
        <v>11</v>
      </c>
    </row>
    <row r="20" spans="1:2">
      <c r="A20" s="3" t="s">
        <v>14</v>
      </c>
      <c r="B20" s="4">
        <v>15</v>
      </c>
    </row>
    <row r="21" spans="1:2">
      <c r="A21" s="6" t="s">
        <v>15</v>
      </c>
      <c r="B21" s="4">
        <v>0</v>
      </c>
    </row>
    <row r="22" spans="1:2">
      <c r="A22" s="3" t="s">
        <v>16</v>
      </c>
      <c r="B22" s="4">
        <v>19</v>
      </c>
    </row>
    <row r="23" spans="1:2">
      <c r="A23" s="6" t="s">
        <v>17</v>
      </c>
      <c r="B23" s="4">
        <v>9</v>
      </c>
    </row>
    <row r="24" spans="1:2">
      <c r="A24" s="3" t="s">
        <v>18</v>
      </c>
      <c r="B24" s="4">
        <v>0</v>
      </c>
    </row>
    <row r="27" spans="1:2">
      <c r="A27" s="3" t="s">
        <v>19</v>
      </c>
      <c r="B27" s="7" t="s">
        <v>20</v>
      </c>
    </row>
    <row r="29" spans="1:2">
      <c r="A29" s="7" t="s">
        <v>21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02A3F"/>
  </sheetPr>
  <dimension ref="A1:Q17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7.7109375" customWidth="1"/>
    <col min="2" max="2" width="42.7109375" customWidth="1"/>
    <col min="3" max="4" width="19.7109375" customWidth="1"/>
    <col min="5" max="10" width="16.7109375" customWidth="1"/>
    <col min="11" max="11" width="20.7109375" customWidth="1"/>
    <col min="12" max="12" width="52.7109375" customWidth="1"/>
    <col min="13" max="15" width="53.7109375" customWidth="1"/>
    <col min="16" max="17" width="55.7109375" customWidth="1"/>
  </cols>
  <sheetData>
    <row r="1" spans="1:17" ht="30" customHeight="1">
      <c r="A1" s="2" t="s">
        <v>8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37</v>
      </c>
    </row>
    <row r="2" spans="1:17">
      <c r="A2" s="3" t="s">
        <v>9</v>
      </c>
      <c r="B2" s="3" t="s">
        <v>38</v>
      </c>
      <c r="C2" s="3" t="s">
        <v>39</v>
      </c>
      <c r="D2" s="3" t="s">
        <v>40</v>
      </c>
      <c r="E2" s="3" t="s">
        <v>41</v>
      </c>
      <c r="J2" s="8">
        <f>IF(H2="","",H2+IF(I2="",0,I2))</f>
        <v/>
      </c>
      <c r="K2" s="8">
        <f>IF(G2&lt;&gt;"",G2,IF(F2&lt;&gt;"",F2,""))</f>
        <v/>
      </c>
      <c r="L2" s="3" t="s">
        <v>42</v>
      </c>
      <c r="M2" s="3" t="s">
        <v>43</v>
      </c>
      <c r="N2" s="3" t="s">
        <v>44</v>
      </c>
      <c r="O2" s="3" t="s">
        <v>44</v>
      </c>
      <c r="P2" s="3" t="s">
        <v>45</v>
      </c>
      <c r="Q2" s="3"/>
    </row>
    <row r="3" spans="1:17">
      <c r="A3" s="6" t="s">
        <v>9</v>
      </c>
      <c r="B3" s="6" t="s">
        <v>46</v>
      </c>
      <c r="C3" s="6" t="s">
        <v>39</v>
      </c>
      <c r="D3" s="6" t="s">
        <v>47</v>
      </c>
      <c r="E3" s="6" t="s">
        <v>41</v>
      </c>
      <c r="J3" s="9">
        <f>IF(H3="","",H3+IF(I3="",0,I3))</f>
        <v/>
      </c>
      <c r="K3" s="9">
        <f>IF(G3&lt;&gt;"",G3,IF(F3&lt;&gt;"",F3,""))</f>
        <v/>
      </c>
      <c r="L3" s="6" t="s">
        <v>42</v>
      </c>
      <c r="M3" s="6" t="s">
        <v>43</v>
      </c>
      <c r="N3" s="6" t="s">
        <v>44</v>
      </c>
      <c r="O3" s="6" t="s">
        <v>44</v>
      </c>
      <c r="P3" s="6" t="s">
        <v>48</v>
      </c>
      <c r="Q3" s="6"/>
    </row>
    <row r="4" spans="1:17">
      <c r="A4" s="3" t="s">
        <v>9</v>
      </c>
      <c r="B4" s="3" t="s">
        <v>49</v>
      </c>
      <c r="C4" s="3" t="s">
        <v>39</v>
      </c>
      <c r="D4" s="3" t="s">
        <v>50</v>
      </c>
      <c r="E4" s="3" t="s">
        <v>41</v>
      </c>
      <c r="J4" s="8">
        <f>IF(H4="","",H4+IF(I4="",0,I4))</f>
        <v/>
      </c>
      <c r="K4" s="8">
        <f>IF(G4&lt;&gt;"",G4,IF(F4&lt;&gt;"",F4,""))</f>
        <v/>
      </c>
      <c r="L4" s="3" t="s">
        <v>42</v>
      </c>
      <c r="M4" s="3" t="s">
        <v>43</v>
      </c>
      <c r="N4" s="3" t="s">
        <v>44</v>
      </c>
      <c r="O4" s="3" t="s">
        <v>44</v>
      </c>
      <c r="P4" s="3" t="s">
        <v>51</v>
      </c>
      <c r="Q4" s="3"/>
    </row>
    <row r="5" spans="1:17">
      <c r="A5" s="6" t="s">
        <v>9</v>
      </c>
      <c r="B5" s="6" t="s">
        <v>52</v>
      </c>
      <c r="C5" s="6" t="s">
        <v>39</v>
      </c>
      <c r="D5" s="6" t="s">
        <v>53</v>
      </c>
      <c r="E5" s="6" t="s">
        <v>41</v>
      </c>
      <c r="J5" s="9">
        <f>IF(H5="","",H5+IF(I5="",0,I5))</f>
        <v/>
      </c>
      <c r="K5" s="9">
        <f>IF(G5&lt;&gt;"",G5,IF(F5&lt;&gt;"",F5,""))</f>
        <v/>
      </c>
      <c r="L5" s="6" t="s">
        <v>42</v>
      </c>
      <c r="M5" s="6" t="s">
        <v>43</v>
      </c>
      <c r="N5" s="6" t="s">
        <v>44</v>
      </c>
      <c r="O5" s="6" t="s">
        <v>44</v>
      </c>
      <c r="P5" s="6" t="s">
        <v>54</v>
      </c>
      <c r="Q5" s="6"/>
    </row>
    <row r="6" spans="1:17">
      <c r="A6" s="3" t="s">
        <v>9</v>
      </c>
      <c r="B6" s="3" t="s">
        <v>55</v>
      </c>
      <c r="C6" s="3" t="s">
        <v>39</v>
      </c>
      <c r="D6" s="3" t="s">
        <v>56</v>
      </c>
      <c r="E6" s="3" t="s">
        <v>41</v>
      </c>
      <c r="J6" s="8">
        <f>IF(H6="","",H6+IF(I6="",0,I6))</f>
        <v/>
      </c>
      <c r="K6" s="8">
        <f>IF(G6&lt;&gt;"",G6,IF(F6&lt;&gt;"",F6,""))</f>
        <v/>
      </c>
      <c r="L6" s="3" t="s">
        <v>42</v>
      </c>
      <c r="M6" s="3" t="s">
        <v>43</v>
      </c>
      <c r="N6" s="3" t="s">
        <v>44</v>
      </c>
      <c r="O6" s="3" t="s">
        <v>44</v>
      </c>
      <c r="P6" s="3" t="s">
        <v>57</v>
      </c>
      <c r="Q6" s="3"/>
    </row>
    <row r="7" spans="1:17">
      <c r="A7" s="6" t="s">
        <v>9</v>
      </c>
      <c r="B7" s="6" t="s">
        <v>58</v>
      </c>
      <c r="C7" s="6" t="s">
        <v>39</v>
      </c>
      <c r="D7" s="6" t="s">
        <v>59</v>
      </c>
      <c r="E7" s="6" t="s">
        <v>41</v>
      </c>
      <c r="J7" s="9">
        <f>IF(H7="","",H7+IF(I7="",0,I7))</f>
        <v/>
      </c>
      <c r="K7" s="9">
        <f>IF(G7&lt;&gt;"",G7,IF(F7&lt;&gt;"",F7,""))</f>
        <v/>
      </c>
      <c r="L7" s="6" t="s">
        <v>42</v>
      </c>
      <c r="M7" s="6" t="s">
        <v>60</v>
      </c>
      <c r="N7" s="6" t="s">
        <v>44</v>
      </c>
      <c r="O7" s="6" t="s">
        <v>44</v>
      </c>
      <c r="P7" s="6" t="s">
        <v>61</v>
      </c>
      <c r="Q7" s="6"/>
    </row>
    <row r="8" spans="1:17">
      <c r="A8" s="3" t="s">
        <v>9</v>
      </c>
      <c r="B8" s="3" t="s">
        <v>62</v>
      </c>
      <c r="C8" s="3" t="s">
        <v>39</v>
      </c>
      <c r="D8" s="3" t="s">
        <v>63</v>
      </c>
      <c r="E8" s="3" t="s">
        <v>41</v>
      </c>
      <c r="J8" s="8">
        <f>IF(H8="","",H8+IF(I8="",0,I8))</f>
        <v/>
      </c>
      <c r="K8" s="8">
        <f>IF(G8&lt;&gt;"",G8,IF(F8&lt;&gt;"",F8,""))</f>
        <v/>
      </c>
      <c r="L8" s="3" t="s">
        <v>42</v>
      </c>
      <c r="M8" s="3" t="s">
        <v>60</v>
      </c>
      <c r="N8" s="3" t="s">
        <v>44</v>
      </c>
      <c r="O8" s="3" t="s">
        <v>44</v>
      </c>
      <c r="P8" s="3" t="s">
        <v>64</v>
      </c>
      <c r="Q8" s="3"/>
    </row>
    <row r="9" spans="1:17">
      <c r="A9" s="6" t="s">
        <v>9</v>
      </c>
      <c r="B9" s="6" t="s">
        <v>65</v>
      </c>
      <c r="C9" s="6" t="s">
        <v>39</v>
      </c>
      <c r="D9" s="6" t="s">
        <v>66</v>
      </c>
      <c r="E9" s="6" t="s">
        <v>67</v>
      </c>
      <c r="J9" s="9">
        <f>IF(H9="","",H9+IF(I9="",0,I9))</f>
        <v/>
      </c>
      <c r="K9" s="9">
        <f>IF(G9&lt;&gt;"",G9,IF(F9&lt;&gt;"",F9,""))</f>
        <v/>
      </c>
      <c r="L9" s="6" t="s">
        <v>67</v>
      </c>
      <c r="M9" s="6" t="s">
        <v>68</v>
      </c>
      <c r="N9" s="6" t="s">
        <v>44</v>
      </c>
      <c r="O9" s="6" t="s">
        <v>44</v>
      </c>
      <c r="P9" s="6" t="s">
        <v>69</v>
      </c>
      <c r="Q9" s="6"/>
    </row>
    <row r="10" spans="1:17">
      <c r="A10" s="3" t="s">
        <v>9</v>
      </c>
      <c r="B10" s="3" t="s">
        <v>70</v>
      </c>
      <c r="C10" s="3" t="s">
        <v>39</v>
      </c>
      <c r="D10" s="3" t="s">
        <v>71</v>
      </c>
      <c r="E10" s="3" t="s">
        <v>41</v>
      </c>
      <c r="J10" s="8">
        <f>IF(H10="","",H10+IF(I10="",0,I10))</f>
        <v/>
      </c>
      <c r="K10" s="8">
        <f>IF(G10&lt;&gt;"",G10,IF(F10&lt;&gt;"",F10,""))</f>
        <v/>
      </c>
      <c r="L10" s="3" t="s">
        <v>42</v>
      </c>
      <c r="M10" s="3" t="s">
        <v>72</v>
      </c>
      <c r="N10" s="3" t="s">
        <v>44</v>
      </c>
      <c r="O10" s="3" t="s">
        <v>44</v>
      </c>
      <c r="P10" s="3" t="s">
        <v>73</v>
      </c>
      <c r="Q10" s="3"/>
    </row>
    <row r="11" spans="1:17">
      <c r="A11" s="6" t="s">
        <v>9</v>
      </c>
      <c r="B11" s="6" t="s">
        <v>74</v>
      </c>
      <c r="C11" s="6" t="s">
        <v>39</v>
      </c>
      <c r="D11" s="6" t="s">
        <v>75</v>
      </c>
      <c r="E11" s="6" t="s">
        <v>41</v>
      </c>
      <c r="J11" s="9">
        <f>IF(H11="","",H11+IF(I11="",0,I11))</f>
        <v/>
      </c>
      <c r="K11" s="9">
        <f>IF(G11&lt;&gt;"",G11,IF(F11&lt;&gt;"",F11,""))</f>
        <v/>
      </c>
      <c r="L11" s="6" t="s">
        <v>42</v>
      </c>
      <c r="M11" s="6" t="s">
        <v>72</v>
      </c>
      <c r="N11" s="6" t="s">
        <v>44</v>
      </c>
      <c r="O11" s="6" t="s">
        <v>44</v>
      </c>
      <c r="P11" s="6" t="s">
        <v>76</v>
      </c>
      <c r="Q11" s="6"/>
    </row>
    <row r="12" spans="1:17">
      <c r="A12" s="3" t="s">
        <v>9</v>
      </c>
      <c r="B12" s="3" t="s">
        <v>77</v>
      </c>
      <c r="C12" s="3" t="s">
        <v>39</v>
      </c>
      <c r="D12" s="3" t="s">
        <v>78</v>
      </c>
      <c r="E12" s="3" t="s">
        <v>41</v>
      </c>
      <c r="J12" s="8">
        <f>IF(H12="","",H12+IF(I12="",0,I12))</f>
        <v/>
      </c>
      <c r="K12" s="8">
        <f>IF(G12&lt;&gt;"",G12,IF(F12&lt;&gt;"",F12,""))</f>
        <v/>
      </c>
      <c r="L12" s="3" t="s">
        <v>42</v>
      </c>
      <c r="M12" s="3" t="s">
        <v>72</v>
      </c>
      <c r="N12" s="3" t="s">
        <v>44</v>
      </c>
      <c r="O12" s="3" t="s">
        <v>44</v>
      </c>
      <c r="P12" s="3" t="s">
        <v>79</v>
      </c>
      <c r="Q12" s="3"/>
    </row>
    <row r="13" spans="1:17">
      <c r="A13" s="6" t="s">
        <v>9</v>
      </c>
      <c r="B13" s="6" t="s">
        <v>80</v>
      </c>
      <c r="C13" s="6" t="s">
        <v>39</v>
      </c>
      <c r="D13" s="6" t="s">
        <v>81</v>
      </c>
      <c r="E13" s="6" t="s">
        <v>41</v>
      </c>
      <c r="J13" s="9">
        <f>IF(H13="","",H13+IF(I13="",0,I13))</f>
        <v/>
      </c>
      <c r="K13" s="9">
        <f>IF(G13&lt;&gt;"",G13,IF(F13&lt;&gt;"",F13,""))</f>
        <v/>
      </c>
      <c r="L13" s="6" t="s">
        <v>42</v>
      </c>
      <c r="M13" s="6" t="s">
        <v>72</v>
      </c>
      <c r="N13" s="6" t="s">
        <v>44</v>
      </c>
      <c r="O13" s="6" t="s">
        <v>44</v>
      </c>
      <c r="P13" s="6" t="s">
        <v>82</v>
      </c>
      <c r="Q13" s="6"/>
    </row>
    <row r="14" spans="1:17">
      <c r="A14" s="3" t="s">
        <v>9</v>
      </c>
      <c r="B14" s="3" t="s">
        <v>83</v>
      </c>
      <c r="C14" s="3" t="s">
        <v>39</v>
      </c>
      <c r="D14" s="3" t="s">
        <v>84</v>
      </c>
      <c r="E14" s="3" t="s">
        <v>41</v>
      </c>
      <c r="J14" s="8">
        <f>IF(H14="","",H14+IF(I14="",0,I14))</f>
        <v/>
      </c>
      <c r="K14" s="8">
        <f>IF(G14&lt;&gt;"",G14,IF(F14&lt;&gt;"",F14,""))</f>
        <v/>
      </c>
      <c r="L14" s="3" t="s">
        <v>42</v>
      </c>
      <c r="M14" s="3" t="s">
        <v>72</v>
      </c>
      <c r="N14" s="3" t="s">
        <v>44</v>
      </c>
      <c r="O14" s="3" t="s">
        <v>44</v>
      </c>
      <c r="P14" s="3" t="s">
        <v>85</v>
      </c>
      <c r="Q14" s="3"/>
    </row>
    <row r="15" spans="1:17">
      <c r="A15" s="6" t="s">
        <v>9</v>
      </c>
      <c r="B15" s="6" t="s">
        <v>86</v>
      </c>
      <c r="C15" s="6" t="s">
        <v>39</v>
      </c>
      <c r="D15" s="6" t="s">
        <v>87</v>
      </c>
      <c r="E15" s="6" t="s">
        <v>41</v>
      </c>
      <c r="J15" s="9">
        <f>IF(H15="","",H15+IF(I15="",0,I15))</f>
        <v/>
      </c>
      <c r="K15" s="9">
        <f>IF(G15&lt;&gt;"",G15,IF(F15&lt;&gt;"",F15,""))</f>
        <v/>
      </c>
      <c r="L15" s="6" t="s">
        <v>42</v>
      </c>
      <c r="M15" s="6" t="s">
        <v>88</v>
      </c>
      <c r="N15" s="6" t="s">
        <v>44</v>
      </c>
      <c r="O15" s="6" t="s">
        <v>44</v>
      </c>
      <c r="P15" s="6" t="s">
        <v>89</v>
      </c>
      <c r="Q15" s="6"/>
    </row>
    <row r="16" spans="1:17">
      <c r="A16" s="3" t="s">
        <v>9</v>
      </c>
      <c r="B16" s="3" t="s">
        <v>90</v>
      </c>
      <c r="C16" s="3" t="s">
        <v>39</v>
      </c>
      <c r="D16" s="3" t="s">
        <v>91</v>
      </c>
      <c r="E16" s="3" t="s">
        <v>41</v>
      </c>
      <c r="J16" s="8">
        <f>IF(H16="","",H16+IF(I16="",0,I16))</f>
        <v/>
      </c>
      <c r="K16" s="8">
        <f>IF(G16&lt;&gt;"",G16,IF(F16&lt;&gt;"",F16,""))</f>
        <v/>
      </c>
      <c r="L16" s="3" t="s">
        <v>42</v>
      </c>
      <c r="M16" s="3" t="s">
        <v>88</v>
      </c>
      <c r="N16" s="3" t="s">
        <v>44</v>
      </c>
      <c r="O16" s="3" t="s">
        <v>44</v>
      </c>
      <c r="P16" s="3" t="s">
        <v>92</v>
      </c>
      <c r="Q16" s="3"/>
    </row>
    <row r="17" spans="1:17">
      <c r="A17" s="6" t="s">
        <v>9</v>
      </c>
      <c r="B17" s="6" t="s">
        <v>93</v>
      </c>
      <c r="C17" s="6" t="s">
        <v>39</v>
      </c>
      <c r="D17" s="6" t="s">
        <v>94</v>
      </c>
      <c r="E17" s="6" t="s">
        <v>41</v>
      </c>
      <c r="J17" s="9">
        <f>IF(H17="","",H17+IF(I17="",0,I17))</f>
        <v/>
      </c>
      <c r="K17" s="9">
        <f>IF(G17&lt;&gt;"",G17,IF(F17&lt;&gt;"",F17,""))</f>
        <v/>
      </c>
      <c r="L17" s="6" t="s">
        <v>42</v>
      </c>
      <c r="M17" s="6" t="s">
        <v>88</v>
      </c>
      <c r="N17" s="6" t="s">
        <v>44</v>
      </c>
      <c r="O17" s="6" t="s">
        <v>44</v>
      </c>
      <c r="P17" s="6" t="s">
        <v>95</v>
      </c>
      <c r="Q17" s="6"/>
    </row>
    <row r="18" spans="1:17">
      <c r="A18" s="3" t="s">
        <v>9</v>
      </c>
      <c r="B18" s="3" t="s">
        <v>96</v>
      </c>
      <c r="C18" s="3" t="s">
        <v>39</v>
      </c>
      <c r="D18" s="3" t="s">
        <v>97</v>
      </c>
      <c r="E18" s="3" t="s">
        <v>41</v>
      </c>
      <c r="J18" s="8">
        <f>IF(H18="","",H18+IF(I18="",0,I18))</f>
        <v/>
      </c>
      <c r="K18" s="8">
        <f>IF(G18&lt;&gt;"",G18,IF(F18&lt;&gt;"",F18,""))</f>
        <v/>
      </c>
      <c r="L18" s="3" t="s">
        <v>42</v>
      </c>
      <c r="M18" s="3" t="s">
        <v>98</v>
      </c>
      <c r="N18" s="3" t="s">
        <v>44</v>
      </c>
      <c r="O18" s="3" t="s">
        <v>44</v>
      </c>
      <c r="P18" s="3" t="s">
        <v>99</v>
      </c>
      <c r="Q18" s="3"/>
    </row>
    <row r="19" spans="1:17">
      <c r="A19" s="6" t="s">
        <v>9</v>
      </c>
      <c r="B19" s="6" t="s">
        <v>100</v>
      </c>
      <c r="C19" s="6" t="s">
        <v>39</v>
      </c>
      <c r="D19" s="6" t="s">
        <v>101</v>
      </c>
      <c r="E19" s="6" t="s">
        <v>41</v>
      </c>
      <c r="J19" s="9">
        <f>IF(H19="","",H19+IF(I19="",0,I19))</f>
        <v/>
      </c>
      <c r="K19" s="9">
        <f>IF(G19&lt;&gt;"",G19,IF(F19&lt;&gt;"",F19,""))</f>
        <v/>
      </c>
      <c r="L19" s="6" t="s">
        <v>42</v>
      </c>
      <c r="M19" s="6" t="s">
        <v>102</v>
      </c>
      <c r="N19" s="6" t="s">
        <v>44</v>
      </c>
      <c r="O19" s="6" t="s">
        <v>44</v>
      </c>
      <c r="P19" s="6" t="s">
        <v>103</v>
      </c>
      <c r="Q19" s="6"/>
    </row>
    <row r="20" spans="1:17">
      <c r="A20" s="3" t="s">
        <v>9</v>
      </c>
      <c r="B20" s="3" t="s">
        <v>104</v>
      </c>
      <c r="C20" s="3" t="s">
        <v>39</v>
      </c>
      <c r="D20" s="3" t="s">
        <v>105</v>
      </c>
      <c r="E20" s="3" t="s">
        <v>41</v>
      </c>
      <c r="J20" s="8">
        <f>IF(H20="","",H20+IF(I20="",0,I20))</f>
        <v/>
      </c>
      <c r="K20" s="8">
        <f>IF(G20&lt;&gt;"",G20,IF(F20&lt;&gt;"",F20,""))</f>
        <v/>
      </c>
      <c r="L20" s="3" t="s">
        <v>42</v>
      </c>
      <c r="M20" s="3" t="s">
        <v>106</v>
      </c>
      <c r="N20" s="3" t="s">
        <v>44</v>
      </c>
      <c r="O20" s="3" t="s">
        <v>44</v>
      </c>
      <c r="P20" s="3" t="s">
        <v>107</v>
      </c>
      <c r="Q20" s="3"/>
    </row>
    <row r="21" spans="1:17">
      <c r="A21" s="6" t="s">
        <v>9</v>
      </c>
      <c r="B21" s="6" t="s">
        <v>108</v>
      </c>
      <c r="C21" s="6" t="s">
        <v>109</v>
      </c>
      <c r="D21" s="6" t="s">
        <v>110</v>
      </c>
      <c r="E21" s="6" t="s">
        <v>41</v>
      </c>
      <c r="J21" s="9">
        <f>IF(H21="","",H21+IF(I21="",0,I21))</f>
        <v/>
      </c>
      <c r="K21" s="9">
        <f>IF(G21&lt;&gt;"",G21,IF(F21&lt;&gt;"",F21,""))</f>
        <v/>
      </c>
      <c r="L21" s="6" t="s">
        <v>42</v>
      </c>
      <c r="M21" s="6" t="s">
        <v>111</v>
      </c>
      <c r="N21" s="6" t="s">
        <v>44</v>
      </c>
      <c r="O21" s="6" t="s">
        <v>44</v>
      </c>
      <c r="P21" s="6" t="s">
        <v>112</v>
      </c>
      <c r="Q21" s="6"/>
    </row>
    <row r="22" spans="1:17">
      <c r="A22" s="3" t="s">
        <v>9</v>
      </c>
      <c r="B22" s="3" t="s">
        <v>113</v>
      </c>
      <c r="C22" s="3" t="s">
        <v>109</v>
      </c>
      <c r="D22" s="3" t="s">
        <v>114</v>
      </c>
      <c r="E22" s="3" t="s">
        <v>41</v>
      </c>
      <c r="J22" s="8">
        <f>IF(H22="","",H22+IF(I22="",0,I22))</f>
        <v/>
      </c>
      <c r="K22" s="8">
        <f>IF(G22&lt;&gt;"",G22,IF(F22&lt;&gt;"",F22,""))</f>
        <v/>
      </c>
      <c r="L22" s="3" t="s">
        <v>42</v>
      </c>
      <c r="M22" s="3" t="s">
        <v>111</v>
      </c>
      <c r="N22" s="3" t="s">
        <v>44</v>
      </c>
      <c r="O22" s="3" t="s">
        <v>44</v>
      </c>
      <c r="P22" s="3" t="s">
        <v>115</v>
      </c>
      <c r="Q22" s="3"/>
    </row>
    <row r="23" spans="1:17">
      <c r="A23" s="6" t="s">
        <v>9</v>
      </c>
      <c r="B23" s="6" t="s">
        <v>116</v>
      </c>
      <c r="C23" s="6" t="s">
        <v>109</v>
      </c>
      <c r="D23" s="6" t="s">
        <v>117</v>
      </c>
      <c r="E23" s="6" t="s">
        <v>41</v>
      </c>
      <c r="J23" s="9">
        <f>IF(H23="","",H23+IF(I23="",0,I23))</f>
        <v/>
      </c>
      <c r="K23" s="9">
        <f>IF(G23&lt;&gt;"",G23,IF(F23&lt;&gt;"",F23,""))</f>
        <v/>
      </c>
      <c r="L23" s="6" t="s">
        <v>42</v>
      </c>
      <c r="M23" s="6" t="s">
        <v>118</v>
      </c>
      <c r="N23" s="6" t="s">
        <v>44</v>
      </c>
      <c r="O23" s="6" t="s">
        <v>44</v>
      </c>
      <c r="P23" s="6" t="s">
        <v>119</v>
      </c>
      <c r="Q23" s="6"/>
    </row>
    <row r="24" spans="1:17">
      <c r="A24" s="3" t="s">
        <v>9</v>
      </c>
      <c r="B24" s="3" t="s">
        <v>120</v>
      </c>
      <c r="C24" s="3" t="s">
        <v>109</v>
      </c>
      <c r="D24" s="3" t="s">
        <v>121</v>
      </c>
      <c r="E24" s="3" t="s">
        <v>41</v>
      </c>
      <c r="J24" s="8">
        <f>IF(H24="","",H24+IF(I24="",0,I24))</f>
        <v/>
      </c>
      <c r="K24" s="8">
        <f>IF(G24&lt;&gt;"",G24,IF(F24&lt;&gt;"",F24,""))</f>
        <v/>
      </c>
      <c r="L24" s="3" t="s">
        <v>42</v>
      </c>
      <c r="M24" s="3" t="s">
        <v>122</v>
      </c>
      <c r="N24" s="3" t="s">
        <v>44</v>
      </c>
      <c r="O24" s="3" t="s">
        <v>44</v>
      </c>
      <c r="P24" s="3" t="s">
        <v>123</v>
      </c>
      <c r="Q24" s="3"/>
    </row>
    <row r="25" spans="1:17">
      <c r="A25" s="6" t="s">
        <v>9</v>
      </c>
      <c r="B25" s="6" t="s">
        <v>124</v>
      </c>
      <c r="C25" s="6" t="s">
        <v>109</v>
      </c>
      <c r="D25" s="6" t="s">
        <v>125</v>
      </c>
      <c r="E25" s="6" t="s">
        <v>41</v>
      </c>
      <c r="J25" s="9">
        <f>IF(H25="","",H25+IF(I25="",0,I25))</f>
        <v/>
      </c>
      <c r="K25" s="9">
        <f>IF(G25&lt;&gt;"",G25,IF(F25&lt;&gt;"",F25,""))</f>
        <v/>
      </c>
      <c r="L25" s="6" t="s">
        <v>42</v>
      </c>
      <c r="M25" s="6" t="s">
        <v>126</v>
      </c>
      <c r="N25" s="6" t="s">
        <v>44</v>
      </c>
      <c r="O25" s="6" t="s">
        <v>44</v>
      </c>
      <c r="P25" s="6" t="s">
        <v>127</v>
      </c>
      <c r="Q25" s="6"/>
    </row>
    <row r="26" spans="1:17">
      <c r="A26" s="3" t="s">
        <v>9</v>
      </c>
      <c r="B26" s="3" t="s">
        <v>128</v>
      </c>
      <c r="C26" s="3" t="s">
        <v>109</v>
      </c>
      <c r="D26" s="3" t="s">
        <v>129</v>
      </c>
      <c r="E26" s="3" t="s">
        <v>41</v>
      </c>
      <c r="J26" s="8">
        <f>IF(H26="","",H26+IF(I26="",0,I26))</f>
        <v/>
      </c>
      <c r="K26" s="8">
        <f>IF(G26&lt;&gt;"",G26,IF(F26&lt;&gt;"",F26,""))</f>
        <v/>
      </c>
      <c r="L26" s="3" t="s">
        <v>42</v>
      </c>
      <c r="M26" s="3" t="s">
        <v>126</v>
      </c>
      <c r="N26" s="3" t="s">
        <v>44</v>
      </c>
      <c r="O26" s="3" t="s">
        <v>44</v>
      </c>
      <c r="P26" s="3" t="s">
        <v>130</v>
      </c>
      <c r="Q26" s="3"/>
    </row>
    <row r="27" spans="1:17">
      <c r="A27" s="6" t="s">
        <v>9</v>
      </c>
      <c r="B27" s="6" t="s">
        <v>131</v>
      </c>
      <c r="C27" s="6" t="s">
        <v>109</v>
      </c>
      <c r="D27" s="6" t="s">
        <v>132</v>
      </c>
      <c r="E27" s="6" t="s">
        <v>41</v>
      </c>
      <c r="J27" s="9">
        <f>IF(H27="","",H27+IF(I27="",0,I27))</f>
        <v/>
      </c>
      <c r="K27" s="9">
        <f>IF(G27&lt;&gt;"",G27,IF(F27&lt;&gt;"",F27,""))</f>
        <v/>
      </c>
      <c r="L27" s="6" t="s">
        <v>42</v>
      </c>
      <c r="M27" s="6" t="s">
        <v>133</v>
      </c>
      <c r="N27" s="6" t="s">
        <v>44</v>
      </c>
      <c r="O27" s="6" t="s">
        <v>44</v>
      </c>
      <c r="P27" s="6" t="s">
        <v>134</v>
      </c>
      <c r="Q27" s="6"/>
    </row>
    <row r="28" spans="1:17">
      <c r="A28" s="3" t="s">
        <v>9</v>
      </c>
      <c r="B28" s="3" t="s">
        <v>135</v>
      </c>
      <c r="C28" s="3" t="s">
        <v>109</v>
      </c>
      <c r="D28" s="3" t="s">
        <v>136</v>
      </c>
      <c r="E28" s="3" t="s">
        <v>41</v>
      </c>
      <c r="J28" s="8">
        <f>IF(H28="","",H28+IF(I28="",0,I28))</f>
        <v/>
      </c>
      <c r="K28" s="8">
        <f>IF(G28&lt;&gt;"",G28,IF(F28&lt;&gt;"",F28,""))</f>
        <v/>
      </c>
      <c r="L28" s="3" t="s">
        <v>42</v>
      </c>
      <c r="M28" s="3" t="s">
        <v>137</v>
      </c>
      <c r="N28" s="3" t="s">
        <v>44</v>
      </c>
      <c r="O28" s="3" t="s">
        <v>44</v>
      </c>
      <c r="P28" s="3" t="s">
        <v>138</v>
      </c>
      <c r="Q28" s="3"/>
    </row>
    <row r="29" spans="1:17">
      <c r="A29" s="6" t="s">
        <v>9</v>
      </c>
      <c r="B29" s="6" t="s">
        <v>139</v>
      </c>
      <c r="C29" s="6" t="s">
        <v>109</v>
      </c>
      <c r="D29" s="6" t="s">
        <v>140</v>
      </c>
      <c r="E29" s="6" t="s">
        <v>41</v>
      </c>
      <c r="J29" s="9">
        <f>IF(H29="","",H29+IF(I29="",0,I29))</f>
        <v/>
      </c>
      <c r="K29" s="9">
        <f>IF(G29&lt;&gt;"",G29,IF(F29&lt;&gt;"",F29,""))</f>
        <v/>
      </c>
      <c r="L29" s="6" t="s">
        <v>42</v>
      </c>
      <c r="M29" s="6" t="s">
        <v>141</v>
      </c>
      <c r="N29" s="6" t="s">
        <v>44</v>
      </c>
      <c r="O29" s="6" t="s">
        <v>44</v>
      </c>
      <c r="P29" s="6" t="s">
        <v>142</v>
      </c>
      <c r="Q29" s="6"/>
    </row>
    <row r="30" spans="1:17">
      <c r="A30" s="3" t="s">
        <v>9</v>
      </c>
      <c r="B30" s="3" t="s">
        <v>143</v>
      </c>
      <c r="C30" s="3" t="s">
        <v>109</v>
      </c>
      <c r="D30" s="3" t="s">
        <v>144</v>
      </c>
      <c r="E30" s="3" t="s">
        <v>41</v>
      </c>
      <c r="J30" s="8">
        <f>IF(H30="","",H30+IF(I30="",0,I30))</f>
        <v/>
      </c>
      <c r="K30" s="8">
        <f>IF(G30&lt;&gt;"",G30,IF(F30&lt;&gt;"",F30,""))</f>
        <v/>
      </c>
      <c r="L30" s="3" t="s">
        <v>42</v>
      </c>
      <c r="M30" s="3" t="s">
        <v>145</v>
      </c>
      <c r="N30" s="3" t="s">
        <v>44</v>
      </c>
      <c r="O30" s="3" t="s">
        <v>44</v>
      </c>
      <c r="P30" s="3" t="s">
        <v>146</v>
      </c>
      <c r="Q30" s="3"/>
    </row>
    <row r="31" spans="1:17">
      <c r="A31" s="6" t="s">
        <v>9</v>
      </c>
      <c r="B31" s="6" t="s">
        <v>147</v>
      </c>
      <c r="C31" s="6" t="s">
        <v>109</v>
      </c>
      <c r="D31" s="6" t="s">
        <v>148</v>
      </c>
      <c r="E31" s="6" t="s">
        <v>41</v>
      </c>
      <c r="J31" s="9">
        <f>IF(H31="","",H31+IF(I31="",0,I31))</f>
        <v/>
      </c>
      <c r="K31" s="9">
        <f>IF(G31&lt;&gt;"",G31,IF(F31&lt;&gt;"",F31,""))</f>
        <v/>
      </c>
      <c r="L31" s="6" t="s">
        <v>42</v>
      </c>
      <c r="M31" s="6" t="s">
        <v>149</v>
      </c>
      <c r="N31" s="6" t="s">
        <v>44</v>
      </c>
      <c r="O31" s="6" t="s">
        <v>44</v>
      </c>
      <c r="P31" s="6" t="s">
        <v>150</v>
      </c>
      <c r="Q31" s="6"/>
    </row>
    <row r="32" spans="1:17">
      <c r="A32" s="3" t="s">
        <v>9</v>
      </c>
      <c r="B32" s="3" t="s">
        <v>151</v>
      </c>
      <c r="C32" s="3" t="s">
        <v>109</v>
      </c>
      <c r="D32" s="3" t="s">
        <v>152</v>
      </c>
      <c r="E32" s="3" t="s">
        <v>41</v>
      </c>
      <c r="J32" s="8">
        <f>IF(H32="","",H32+IF(I32="",0,I32))</f>
        <v/>
      </c>
      <c r="K32" s="8">
        <f>IF(G32&lt;&gt;"",G32,IF(F32&lt;&gt;"",F32,""))</f>
        <v/>
      </c>
      <c r="L32" s="3" t="s">
        <v>42</v>
      </c>
      <c r="M32" s="3" t="s">
        <v>153</v>
      </c>
      <c r="N32" s="3" t="s">
        <v>44</v>
      </c>
      <c r="O32" s="3" t="s">
        <v>44</v>
      </c>
      <c r="P32" s="3" t="s">
        <v>154</v>
      </c>
      <c r="Q32" s="3"/>
    </row>
    <row r="33" spans="1:17">
      <c r="A33" s="6" t="s">
        <v>9</v>
      </c>
      <c r="B33" s="6" t="s">
        <v>155</v>
      </c>
      <c r="C33" s="6" t="s">
        <v>109</v>
      </c>
      <c r="D33" s="6" t="s">
        <v>156</v>
      </c>
      <c r="E33" s="6" t="s">
        <v>41</v>
      </c>
      <c r="J33" s="9">
        <f>IF(H33="","",H33+IF(I33="",0,I33))</f>
        <v/>
      </c>
      <c r="K33" s="9">
        <f>IF(G33&lt;&gt;"",G33,IF(F33&lt;&gt;"",F33,""))</f>
        <v/>
      </c>
      <c r="L33" s="6" t="s">
        <v>42</v>
      </c>
      <c r="M33" s="6" t="s">
        <v>153</v>
      </c>
      <c r="N33" s="6" t="s">
        <v>44</v>
      </c>
      <c r="O33" s="6" t="s">
        <v>44</v>
      </c>
      <c r="P33" s="6" t="s">
        <v>157</v>
      </c>
      <c r="Q33" s="6"/>
    </row>
    <row r="34" spans="1:17">
      <c r="A34" s="3" t="s">
        <v>9</v>
      </c>
      <c r="B34" s="3" t="s">
        <v>158</v>
      </c>
      <c r="C34" s="3" t="s">
        <v>109</v>
      </c>
      <c r="D34" s="3" t="s">
        <v>159</v>
      </c>
      <c r="E34" s="3" t="s">
        <v>41</v>
      </c>
      <c r="J34" s="8">
        <f>IF(H34="","",H34+IF(I34="",0,I34))</f>
        <v/>
      </c>
      <c r="K34" s="8">
        <f>IF(G34&lt;&gt;"",G34,IF(F34&lt;&gt;"",F34,""))</f>
        <v/>
      </c>
      <c r="L34" s="3" t="s">
        <v>42</v>
      </c>
      <c r="M34" s="3" t="s">
        <v>160</v>
      </c>
      <c r="N34" s="3" t="s">
        <v>44</v>
      </c>
      <c r="O34" s="3" t="s">
        <v>44</v>
      </c>
      <c r="P34" s="3" t="s">
        <v>161</v>
      </c>
      <c r="Q34" s="3"/>
    </row>
    <row r="35" spans="1:17">
      <c r="A35" s="6" t="s">
        <v>9</v>
      </c>
      <c r="B35" s="6" t="s">
        <v>162</v>
      </c>
      <c r="C35" s="6" t="s">
        <v>109</v>
      </c>
      <c r="D35" s="6" t="s">
        <v>163</v>
      </c>
      <c r="E35" s="6" t="s">
        <v>41</v>
      </c>
      <c r="J35" s="9">
        <f>IF(H35="","",H35+IF(I35="",0,I35))</f>
        <v/>
      </c>
      <c r="K35" s="9">
        <f>IF(G35&lt;&gt;"",G35,IF(F35&lt;&gt;"",F35,""))</f>
        <v/>
      </c>
      <c r="L35" s="6" t="s">
        <v>42</v>
      </c>
      <c r="M35" s="6" t="s">
        <v>164</v>
      </c>
      <c r="N35" s="6" t="s">
        <v>44</v>
      </c>
      <c r="O35" s="6" t="s">
        <v>44</v>
      </c>
      <c r="P35" s="6" t="s">
        <v>165</v>
      </c>
      <c r="Q35" s="6"/>
    </row>
    <row r="36" spans="1:17">
      <c r="A36" s="3" t="s">
        <v>10</v>
      </c>
      <c r="B36" s="3" t="s">
        <v>166</v>
      </c>
      <c r="C36" s="3" t="s">
        <v>39</v>
      </c>
      <c r="D36" s="3" t="s">
        <v>167</v>
      </c>
      <c r="E36" s="3" t="s">
        <v>41</v>
      </c>
      <c r="J36" s="8">
        <f>IF(H36="","",H36+IF(I36="",0,I36))</f>
        <v/>
      </c>
      <c r="K36" s="8">
        <f>IF(G36&lt;&gt;"",G36,IF(F36&lt;&gt;"",F36,""))</f>
        <v/>
      </c>
      <c r="L36" s="3" t="s">
        <v>42</v>
      </c>
      <c r="M36" s="3" t="s">
        <v>168</v>
      </c>
      <c r="N36" s="3" t="s">
        <v>44</v>
      </c>
      <c r="O36" s="3" t="s">
        <v>44</v>
      </c>
      <c r="P36" s="3" t="s">
        <v>169</v>
      </c>
      <c r="Q36" s="3"/>
    </row>
    <row r="37" spans="1:17">
      <c r="A37" s="6" t="s">
        <v>10</v>
      </c>
      <c r="B37" s="6" t="s">
        <v>170</v>
      </c>
      <c r="C37" s="6" t="s">
        <v>39</v>
      </c>
      <c r="D37" s="6" t="s">
        <v>171</v>
      </c>
      <c r="E37" s="6" t="s">
        <v>41</v>
      </c>
      <c r="J37" s="9">
        <f>IF(H37="","",H37+IF(I37="",0,I37))</f>
        <v/>
      </c>
      <c r="K37" s="9">
        <f>IF(G37&lt;&gt;"",G37,IF(F37&lt;&gt;"",F37,""))</f>
        <v/>
      </c>
      <c r="L37" s="6" t="s">
        <v>42</v>
      </c>
      <c r="M37" s="6" t="s">
        <v>168</v>
      </c>
      <c r="N37" s="6" t="s">
        <v>44</v>
      </c>
      <c r="O37" s="6" t="s">
        <v>44</v>
      </c>
      <c r="P37" s="6" t="s">
        <v>172</v>
      </c>
      <c r="Q37" s="6"/>
    </row>
    <row r="38" spans="1:17">
      <c r="A38" s="3" t="s">
        <v>10</v>
      </c>
      <c r="B38" s="3" t="s">
        <v>173</v>
      </c>
      <c r="C38" s="3" t="s">
        <v>39</v>
      </c>
      <c r="D38" s="3" t="s">
        <v>174</v>
      </c>
      <c r="E38" s="3" t="s">
        <v>41</v>
      </c>
      <c r="J38" s="8">
        <f>IF(H38="","",H38+IF(I38="",0,I38))</f>
        <v/>
      </c>
      <c r="K38" s="8">
        <f>IF(G38&lt;&gt;"",G38,IF(F38&lt;&gt;"",F38,""))</f>
        <v/>
      </c>
      <c r="L38" s="3" t="s">
        <v>42</v>
      </c>
      <c r="M38" s="3" t="s">
        <v>175</v>
      </c>
      <c r="N38" s="3" t="s">
        <v>44</v>
      </c>
      <c r="O38" s="3" t="s">
        <v>44</v>
      </c>
      <c r="P38" s="3" t="s">
        <v>176</v>
      </c>
      <c r="Q38" s="3"/>
    </row>
    <row r="39" spans="1:17">
      <c r="A39" s="6" t="s">
        <v>10</v>
      </c>
      <c r="B39" s="6" t="s">
        <v>177</v>
      </c>
      <c r="C39" s="6" t="s">
        <v>39</v>
      </c>
      <c r="D39" s="6" t="s">
        <v>178</v>
      </c>
      <c r="E39" s="6" t="s">
        <v>41</v>
      </c>
      <c r="J39" s="9">
        <f>IF(H39="","",H39+IF(I39="",0,I39))</f>
        <v/>
      </c>
      <c r="K39" s="9">
        <f>IF(G39&lt;&gt;"",G39,IF(F39&lt;&gt;"",F39,""))</f>
        <v/>
      </c>
      <c r="L39" s="6" t="s">
        <v>42</v>
      </c>
      <c r="M39" s="6" t="s">
        <v>179</v>
      </c>
      <c r="N39" s="6" t="s">
        <v>44</v>
      </c>
      <c r="O39" s="6" t="s">
        <v>44</v>
      </c>
      <c r="P39" s="6" t="s">
        <v>180</v>
      </c>
      <c r="Q39" s="6"/>
    </row>
    <row r="40" spans="1:17">
      <c r="A40" s="3" t="s">
        <v>10</v>
      </c>
      <c r="B40" s="3" t="s">
        <v>181</v>
      </c>
      <c r="C40" s="3" t="s">
        <v>39</v>
      </c>
      <c r="D40" s="3" t="s">
        <v>182</v>
      </c>
      <c r="E40" s="3" t="s">
        <v>41</v>
      </c>
      <c r="J40" s="8">
        <f>IF(H40="","",H40+IF(I40="",0,I40))</f>
        <v/>
      </c>
      <c r="K40" s="8">
        <f>IF(G40&lt;&gt;"",G40,IF(F40&lt;&gt;"",F40,""))</f>
        <v/>
      </c>
      <c r="L40" s="3" t="s">
        <v>42</v>
      </c>
      <c r="M40" s="3" t="s">
        <v>179</v>
      </c>
      <c r="N40" s="3" t="s">
        <v>44</v>
      </c>
      <c r="O40" s="3" t="s">
        <v>44</v>
      </c>
      <c r="P40" s="3" t="s">
        <v>183</v>
      </c>
      <c r="Q40" s="3"/>
    </row>
    <row r="41" spans="1:17">
      <c r="A41" s="6" t="s">
        <v>10</v>
      </c>
      <c r="B41" s="6" t="s">
        <v>184</v>
      </c>
      <c r="C41" s="6" t="s">
        <v>39</v>
      </c>
      <c r="D41" s="6" t="s">
        <v>185</v>
      </c>
      <c r="E41" s="6" t="s">
        <v>41</v>
      </c>
      <c r="J41" s="9">
        <f>IF(H41="","",H41+IF(I41="",0,I41))</f>
        <v/>
      </c>
      <c r="K41" s="9">
        <f>IF(G41&lt;&gt;"",G41,IF(F41&lt;&gt;"",F41,""))</f>
        <v/>
      </c>
      <c r="L41" s="6" t="s">
        <v>42</v>
      </c>
      <c r="M41" s="6" t="s">
        <v>179</v>
      </c>
      <c r="N41" s="6" t="s">
        <v>44</v>
      </c>
      <c r="O41" s="6" t="s">
        <v>44</v>
      </c>
      <c r="P41" s="6" t="s">
        <v>186</v>
      </c>
      <c r="Q41" s="6"/>
    </row>
    <row r="42" spans="1:17">
      <c r="A42" s="3" t="s">
        <v>10</v>
      </c>
      <c r="B42" s="3" t="s">
        <v>187</v>
      </c>
      <c r="C42" s="3" t="s">
        <v>39</v>
      </c>
      <c r="D42" s="3" t="s">
        <v>188</v>
      </c>
      <c r="E42" s="3" t="s">
        <v>41</v>
      </c>
      <c r="J42" s="8">
        <f>IF(H42="","",H42+IF(I42="",0,I42))</f>
        <v/>
      </c>
      <c r="K42" s="8">
        <f>IF(G42&lt;&gt;"",G42,IF(F42&lt;&gt;"",F42,""))</f>
        <v/>
      </c>
      <c r="L42" s="3" t="s">
        <v>42</v>
      </c>
      <c r="M42" s="3" t="s">
        <v>189</v>
      </c>
      <c r="N42" s="3" t="s">
        <v>44</v>
      </c>
      <c r="O42" s="3" t="s">
        <v>44</v>
      </c>
      <c r="P42" s="3" t="s">
        <v>190</v>
      </c>
      <c r="Q42" s="3"/>
    </row>
    <row r="43" spans="1:17">
      <c r="A43" s="6" t="s">
        <v>10</v>
      </c>
      <c r="B43" s="6" t="s">
        <v>191</v>
      </c>
      <c r="C43" s="6" t="s">
        <v>39</v>
      </c>
      <c r="D43" s="6" t="s">
        <v>192</v>
      </c>
      <c r="E43" s="6" t="s">
        <v>41</v>
      </c>
      <c r="J43" s="9">
        <f>IF(H43="","",H43+IF(I43="",0,I43))</f>
        <v/>
      </c>
      <c r="K43" s="9">
        <f>IF(G43&lt;&gt;"",G43,IF(F43&lt;&gt;"",F43,""))</f>
        <v/>
      </c>
      <c r="L43" s="6" t="s">
        <v>42</v>
      </c>
      <c r="M43" s="6" t="s">
        <v>193</v>
      </c>
      <c r="N43" s="6" t="s">
        <v>44</v>
      </c>
      <c r="O43" s="6" t="s">
        <v>44</v>
      </c>
      <c r="P43" s="6" t="s">
        <v>194</v>
      </c>
      <c r="Q43" s="6"/>
    </row>
    <row r="44" spans="1:17">
      <c r="A44" s="3" t="s">
        <v>10</v>
      </c>
      <c r="B44" s="3" t="s">
        <v>195</v>
      </c>
      <c r="C44" s="3" t="s">
        <v>39</v>
      </c>
      <c r="D44" s="3" t="s">
        <v>196</v>
      </c>
      <c r="E44" s="3" t="s">
        <v>41</v>
      </c>
      <c r="J44" s="8">
        <f>IF(H44="","",H44+IF(I44="",0,I44))</f>
        <v/>
      </c>
      <c r="K44" s="8">
        <f>IF(G44&lt;&gt;"",G44,IF(F44&lt;&gt;"",F44,""))</f>
        <v/>
      </c>
      <c r="L44" s="3" t="s">
        <v>42</v>
      </c>
      <c r="M44" s="3" t="s">
        <v>193</v>
      </c>
      <c r="N44" s="3" t="s">
        <v>44</v>
      </c>
      <c r="O44" s="3" t="s">
        <v>44</v>
      </c>
      <c r="P44" s="3" t="s">
        <v>197</v>
      </c>
      <c r="Q44" s="3"/>
    </row>
    <row r="45" spans="1:17">
      <c r="A45" s="6" t="s">
        <v>10</v>
      </c>
      <c r="B45" s="6" t="s">
        <v>198</v>
      </c>
      <c r="C45" s="6" t="s">
        <v>39</v>
      </c>
      <c r="D45" s="6" t="s">
        <v>199</v>
      </c>
      <c r="E45" s="6" t="s">
        <v>41</v>
      </c>
      <c r="J45" s="9">
        <f>IF(H45="","",H45+IF(I45="",0,I45))</f>
        <v/>
      </c>
      <c r="K45" s="9">
        <f>IF(G45&lt;&gt;"",G45,IF(F45&lt;&gt;"",F45,""))</f>
        <v/>
      </c>
      <c r="L45" s="6" t="s">
        <v>42</v>
      </c>
      <c r="M45" s="6" t="s">
        <v>200</v>
      </c>
      <c r="N45" s="6" t="s">
        <v>44</v>
      </c>
      <c r="O45" s="6" t="s">
        <v>44</v>
      </c>
      <c r="P45" s="6" t="s">
        <v>201</v>
      </c>
      <c r="Q45" s="6"/>
    </row>
    <row r="46" spans="1:17">
      <c r="A46" s="3" t="s">
        <v>10</v>
      </c>
      <c r="B46" s="3" t="s">
        <v>202</v>
      </c>
      <c r="C46" s="3" t="s">
        <v>39</v>
      </c>
      <c r="D46" s="3" t="s">
        <v>203</v>
      </c>
      <c r="E46" s="3" t="s">
        <v>41</v>
      </c>
      <c r="J46" s="8">
        <f>IF(H46="","",H46+IF(I46="",0,I46))</f>
        <v/>
      </c>
      <c r="K46" s="8">
        <f>IF(G46&lt;&gt;"",G46,IF(F46&lt;&gt;"",F46,""))</f>
        <v/>
      </c>
      <c r="L46" s="3" t="s">
        <v>42</v>
      </c>
      <c r="M46" s="3" t="s">
        <v>200</v>
      </c>
      <c r="N46" s="3" t="s">
        <v>44</v>
      </c>
      <c r="O46" s="3" t="s">
        <v>44</v>
      </c>
      <c r="P46" s="3" t="s">
        <v>204</v>
      </c>
      <c r="Q46" s="3"/>
    </row>
    <row r="47" spans="1:17">
      <c r="A47" s="6" t="s">
        <v>10</v>
      </c>
      <c r="B47" s="6" t="s">
        <v>205</v>
      </c>
      <c r="C47" s="6" t="s">
        <v>39</v>
      </c>
      <c r="D47" s="6" t="s">
        <v>206</v>
      </c>
      <c r="E47" s="6" t="s">
        <v>41</v>
      </c>
      <c r="J47" s="9">
        <f>IF(H47="","",H47+IF(I47="",0,I47))</f>
        <v/>
      </c>
      <c r="K47" s="9">
        <f>IF(G47&lt;&gt;"",G47,IF(F47&lt;&gt;"",F47,""))</f>
        <v/>
      </c>
      <c r="L47" s="6" t="s">
        <v>42</v>
      </c>
      <c r="M47" s="6" t="s">
        <v>200</v>
      </c>
      <c r="N47" s="6" t="s">
        <v>44</v>
      </c>
      <c r="O47" s="6" t="s">
        <v>44</v>
      </c>
      <c r="P47" s="6" t="s">
        <v>207</v>
      </c>
      <c r="Q47" s="6"/>
    </row>
    <row r="48" spans="1:17">
      <c r="A48" s="3" t="s">
        <v>10</v>
      </c>
      <c r="B48" s="3" t="s">
        <v>208</v>
      </c>
      <c r="C48" s="3" t="s">
        <v>39</v>
      </c>
      <c r="D48" s="3" t="s">
        <v>209</v>
      </c>
      <c r="E48" s="3" t="s">
        <v>41</v>
      </c>
      <c r="J48" s="8">
        <f>IF(H48="","",H48+IF(I48="",0,I48))</f>
        <v/>
      </c>
      <c r="K48" s="8">
        <f>IF(G48&lt;&gt;"",G48,IF(F48&lt;&gt;"",F48,""))</f>
        <v/>
      </c>
      <c r="L48" s="3" t="s">
        <v>42</v>
      </c>
      <c r="M48" s="3" t="s">
        <v>200</v>
      </c>
      <c r="N48" s="3" t="s">
        <v>44</v>
      </c>
      <c r="O48" s="3" t="s">
        <v>44</v>
      </c>
      <c r="P48" s="3" t="s">
        <v>210</v>
      </c>
      <c r="Q48" s="3"/>
    </row>
    <row r="49" spans="1:17">
      <c r="A49" s="6" t="s">
        <v>10</v>
      </c>
      <c r="B49" s="6" t="s">
        <v>211</v>
      </c>
      <c r="C49" s="6" t="s">
        <v>39</v>
      </c>
      <c r="D49" s="6" t="s">
        <v>212</v>
      </c>
      <c r="E49" s="6" t="s">
        <v>41</v>
      </c>
      <c r="J49" s="9">
        <f>IF(H49="","",H49+IF(I49="",0,I49))</f>
        <v/>
      </c>
      <c r="K49" s="9">
        <f>IF(G49&lt;&gt;"",G49,IF(F49&lt;&gt;"",F49,""))</f>
        <v/>
      </c>
      <c r="L49" s="6" t="s">
        <v>42</v>
      </c>
      <c r="M49" s="6" t="s">
        <v>179</v>
      </c>
      <c r="N49" s="6" t="s">
        <v>44</v>
      </c>
      <c r="O49" s="6" t="s">
        <v>44</v>
      </c>
      <c r="P49" s="6" t="s">
        <v>213</v>
      </c>
      <c r="Q49" s="6"/>
    </row>
    <row r="50" spans="1:17">
      <c r="A50" s="3" t="s">
        <v>10</v>
      </c>
      <c r="B50" s="3" t="s">
        <v>214</v>
      </c>
      <c r="C50" s="3" t="s">
        <v>39</v>
      </c>
      <c r="D50" s="3" t="s">
        <v>215</v>
      </c>
      <c r="E50" s="3" t="s">
        <v>41</v>
      </c>
      <c r="J50" s="8">
        <f>IF(H50="","",H50+IF(I50="",0,I50))</f>
        <v/>
      </c>
      <c r="K50" s="8">
        <f>IF(G50&lt;&gt;"",G50,IF(F50&lt;&gt;"",F50,""))</f>
        <v/>
      </c>
      <c r="L50" s="3" t="s">
        <v>42</v>
      </c>
      <c r="M50" s="3" t="s">
        <v>216</v>
      </c>
      <c r="N50" s="3" t="s">
        <v>44</v>
      </c>
      <c r="O50" s="3" t="s">
        <v>44</v>
      </c>
      <c r="P50" s="3" t="s">
        <v>217</v>
      </c>
      <c r="Q50" s="3"/>
    </row>
    <row r="51" spans="1:17">
      <c r="A51" s="6" t="s">
        <v>10</v>
      </c>
      <c r="B51" s="6" t="s">
        <v>218</v>
      </c>
      <c r="C51" s="6" t="s">
        <v>39</v>
      </c>
      <c r="D51" s="6" t="s">
        <v>219</v>
      </c>
      <c r="E51" s="6" t="s">
        <v>41</v>
      </c>
      <c r="J51" s="9">
        <f>IF(H51="","",H51+IF(I51="",0,I51))</f>
        <v/>
      </c>
      <c r="K51" s="9">
        <f>IF(G51&lt;&gt;"",G51,IF(F51&lt;&gt;"",F51,""))</f>
        <v/>
      </c>
      <c r="L51" s="6" t="s">
        <v>42</v>
      </c>
      <c r="M51" s="6" t="s">
        <v>193</v>
      </c>
      <c r="N51" s="6" t="s">
        <v>44</v>
      </c>
      <c r="O51" s="6" t="s">
        <v>44</v>
      </c>
      <c r="P51" s="6" t="s">
        <v>220</v>
      </c>
      <c r="Q51" s="6"/>
    </row>
    <row r="52" spans="1:17">
      <c r="A52" s="3" t="s">
        <v>10</v>
      </c>
      <c r="B52" s="3" t="s">
        <v>221</v>
      </c>
      <c r="C52" s="3" t="s">
        <v>39</v>
      </c>
      <c r="D52" s="3" t="s">
        <v>222</v>
      </c>
      <c r="E52" s="3" t="s">
        <v>41</v>
      </c>
      <c r="J52" s="8">
        <f>IF(H52="","",H52+IF(I52="",0,I52))</f>
        <v/>
      </c>
      <c r="K52" s="8">
        <f>IF(G52&lt;&gt;"",G52,IF(F52&lt;&gt;"",F52,""))</f>
        <v/>
      </c>
      <c r="L52" s="3" t="s">
        <v>42</v>
      </c>
      <c r="M52" s="3" t="s">
        <v>200</v>
      </c>
      <c r="N52" s="3" t="s">
        <v>44</v>
      </c>
      <c r="O52" s="3" t="s">
        <v>44</v>
      </c>
      <c r="P52" s="3" t="s">
        <v>223</v>
      </c>
      <c r="Q52" s="3"/>
    </row>
    <row r="53" spans="1:17">
      <c r="A53" s="6" t="s">
        <v>10</v>
      </c>
      <c r="B53" s="6" t="s">
        <v>224</v>
      </c>
      <c r="C53" s="6" t="s">
        <v>39</v>
      </c>
      <c r="D53" s="6" t="s">
        <v>225</v>
      </c>
      <c r="E53" s="6" t="s">
        <v>41</v>
      </c>
      <c r="J53" s="9">
        <f>IF(H53="","",H53+IF(I53="",0,I53))</f>
        <v/>
      </c>
      <c r="K53" s="9">
        <f>IF(G53&lt;&gt;"",G53,IF(F53&lt;&gt;"",F53,""))</f>
        <v/>
      </c>
      <c r="L53" s="6" t="s">
        <v>42</v>
      </c>
      <c r="M53" s="6" t="s">
        <v>200</v>
      </c>
      <c r="N53" s="6" t="s">
        <v>44</v>
      </c>
      <c r="O53" s="6" t="s">
        <v>44</v>
      </c>
      <c r="P53" s="6" t="s">
        <v>226</v>
      </c>
      <c r="Q53" s="6"/>
    </row>
    <row r="54" spans="1:17">
      <c r="A54" s="3" t="s">
        <v>10</v>
      </c>
      <c r="B54" s="3" t="s">
        <v>227</v>
      </c>
      <c r="C54" s="3" t="s">
        <v>39</v>
      </c>
      <c r="D54" s="3" t="s">
        <v>228</v>
      </c>
      <c r="E54" s="3" t="s">
        <v>41</v>
      </c>
      <c r="J54" s="8">
        <f>IF(H54="","",H54+IF(I54="",0,I54))</f>
        <v/>
      </c>
      <c r="K54" s="8">
        <f>IF(G54&lt;&gt;"",G54,IF(F54&lt;&gt;"",F54,""))</f>
        <v/>
      </c>
      <c r="L54" s="3" t="s">
        <v>42</v>
      </c>
      <c r="M54" s="3" t="s">
        <v>229</v>
      </c>
      <c r="N54" s="3" t="s">
        <v>44</v>
      </c>
      <c r="O54" s="3" t="s">
        <v>44</v>
      </c>
      <c r="P54" s="3" t="s">
        <v>230</v>
      </c>
      <c r="Q54" s="3"/>
    </row>
    <row r="55" spans="1:17">
      <c r="A55" s="6" t="s">
        <v>10</v>
      </c>
      <c r="B55" s="6" t="s">
        <v>231</v>
      </c>
      <c r="C55" s="6" t="s">
        <v>39</v>
      </c>
      <c r="D55" s="6" t="s">
        <v>232</v>
      </c>
      <c r="E55" s="6" t="s">
        <v>41</v>
      </c>
      <c r="J55" s="9">
        <f>IF(H55="","",H55+IF(I55="",0,I55))</f>
        <v/>
      </c>
      <c r="K55" s="9">
        <f>IF(G55&lt;&gt;"",G55,IF(F55&lt;&gt;"",F55,""))</f>
        <v/>
      </c>
      <c r="L55" s="6" t="s">
        <v>42</v>
      </c>
      <c r="M55" s="6" t="s">
        <v>233</v>
      </c>
      <c r="N55" s="6" t="s">
        <v>44</v>
      </c>
      <c r="O55" s="6" t="s">
        <v>44</v>
      </c>
      <c r="P55" s="6" t="s">
        <v>234</v>
      </c>
      <c r="Q55" s="6"/>
    </row>
    <row r="56" spans="1:17">
      <c r="A56" s="3" t="s">
        <v>10</v>
      </c>
      <c r="B56" s="3" t="s">
        <v>235</v>
      </c>
      <c r="C56" s="3" t="s">
        <v>39</v>
      </c>
      <c r="D56" s="3" t="s">
        <v>236</v>
      </c>
      <c r="E56" s="3" t="s">
        <v>41</v>
      </c>
      <c r="J56" s="8">
        <f>IF(H56="","",H56+IF(I56="",0,I56))</f>
        <v/>
      </c>
      <c r="K56" s="8">
        <f>IF(G56&lt;&gt;"",G56,IF(F56&lt;&gt;"",F56,""))</f>
        <v/>
      </c>
      <c r="L56" s="3" t="s">
        <v>42</v>
      </c>
      <c r="M56" s="3" t="s">
        <v>216</v>
      </c>
      <c r="N56" s="3" t="s">
        <v>44</v>
      </c>
      <c r="O56" s="3" t="s">
        <v>44</v>
      </c>
      <c r="P56" s="3" t="s">
        <v>237</v>
      </c>
      <c r="Q56" s="3"/>
    </row>
    <row r="57" spans="1:17">
      <c r="A57" s="6" t="s">
        <v>10</v>
      </c>
      <c r="B57" s="6" t="s">
        <v>238</v>
      </c>
      <c r="C57" s="6" t="s">
        <v>39</v>
      </c>
      <c r="D57" s="6" t="s">
        <v>239</v>
      </c>
      <c r="E57" s="6" t="s">
        <v>41</v>
      </c>
      <c r="J57" s="9">
        <f>IF(H57="","",H57+IF(I57="",0,I57))</f>
        <v/>
      </c>
      <c r="K57" s="9">
        <f>IF(G57&lt;&gt;"",G57,IF(F57&lt;&gt;"",F57,""))</f>
        <v/>
      </c>
      <c r="L57" s="6" t="s">
        <v>42</v>
      </c>
      <c r="M57" s="6" t="s">
        <v>200</v>
      </c>
      <c r="N57" s="6" t="s">
        <v>44</v>
      </c>
      <c r="O57" s="6" t="s">
        <v>44</v>
      </c>
      <c r="P57" s="6" t="s">
        <v>240</v>
      </c>
      <c r="Q57" s="6"/>
    </row>
    <row r="58" spans="1:17">
      <c r="A58" s="3" t="s">
        <v>10</v>
      </c>
      <c r="B58" s="3" t="s">
        <v>241</v>
      </c>
      <c r="C58" s="3" t="s">
        <v>39</v>
      </c>
      <c r="D58" s="3" t="s">
        <v>242</v>
      </c>
      <c r="E58" s="3" t="s">
        <v>41</v>
      </c>
      <c r="J58" s="8">
        <f>IF(H58="","",H58+IF(I58="",0,I58))</f>
        <v/>
      </c>
      <c r="K58" s="8">
        <f>IF(G58&lt;&gt;"",G58,IF(F58&lt;&gt;"",F58,""))</f>
        <v/>
      </c>
      <c r="L58" s="3" t="s">
        <v>42</v>
      </c>
      <c r="M58" s="3" t="s">
        <v>200</v>
      </c>
      <c r="N58" s="3" t="s">
        <v>44</v>
      </c>
      <c r="O58" s="3" t="s">
        <v>44</v>
      </c>
      <c r="P58" s="3" t="s">
        <v>243</v>
      </c>
      <c r="Q58" s="3"/>
    </row>
    <row r="59" spans="1:17">
      <c r="A59" s="6" t="s">
        <v>10</v>
      </c>
      <c r="B59" s="6" t="s">
        <v>244</v>
      </c>
      <c r="C59" s="6" t="s">
        <v>245</v>
      </c>
      <c r="D59" s="6" t="s">
        <v>246</v>
      </c>
      <c r="E59" s="6" t="s">
        <v>41</v>
      </c>
      <c r="J59" s="9">
        <f>IF(H59="","",H59+IF(I59="",0,I59))</f>
        <v/>
      </c>
      <c r="K59" s="9">
        <f>IF(G59&lt;&gt;"",G59,IF(F59&lt;&gt;"",F59,""))</f>
        <v/>
      </c>
      <c r="L59" s="6" t="s">
        <v>42</v>
      </c>
      <c r="M59" s="6" t="s">
        <v>247</v>
      </c>
      <c r="N59" s="6" t="s">
        <v>44</v>
      </c>
      <c r="O59" s="6" t="s">
        <v>44</v>
      </c>
      <c r="P59" s="6" t="s">
        <v>248</v>
      </c>
      <c r="Q59" s="6" t="s">
        <v>249</v>
      </c>
    </row>
    <row r="60" spans="1:17">
      <c r="A60" s="3" t="s">
        <v>10</v>
      </c>
      <c r="B60" s="3" t="s">
        <v>250</v>
      </c>
      <c r="C60" s="3" t="s">
        <v>251</v>
      </c>
      <c r="D60" s="3" t="s">
        <v>252</v>
      </c>
      <c r="E60" s="3" t="s">
        <v>41</v>
      </c>
      <c r="J60" s="8">
        <f>IF(H60="","",H60+IF(I60="",0,I60))</f>
        <v/>
      </c>
      <c r="K60" s="8">
        <f>IF(G60&lt;&gt;"",G60,IF(F60&lt;&gt;"",F60,""))</f>
        <v/>
      </c>
      <c r="L60" s="3" t="s">
        <v>42</v>
      </c>
      <c r="M60" s="3" t="s">
        <v>168</v>
      </c>
      <c r="N60" s="3" t="s">
        <v>44</v>
      </c>
      <c r="O60" s="3" t="s">
        <v>44</v>
      </c>
      <c r="P60" s="3" t="s">
        <v>253</v>
      </c>
      <c r="Q60" s="3"/>
    </row>
    <row r="61" spans="1:17">
      <c r="A61" s="6" t="s">
        <v>10</v>
      </c>
      <c r="B61" s="6" t="s">
        <v>254</v>
      </c>
      <c r="C61" s="6" t="s">
        <v>251</v>
      </c>
      <c r="D61" s="6" t="s">
        <v>255</v>
      </c>
      <c r="E61" s="6" t="s">
        <v>41</v>
      </c>
      <c r="J61" s="9">
        <f>IF(H61="","",H61+IF(I61="",0,I61))</f>
        <v/>
      </c>
      <c r="K61" s="9">
        <f>IF(G61&lt;&gt;"",G61,IF(F61&lt;&gt;"",F61,""))</f>
        <v/>
      </c>
      <c r="L61" s="6" t="s">
        <v>42</v>
      </c>
      <c r="M61" s="6" t="s">
        <v>168</v>
      </c>
      <c r="N61" s="6" t="s">
        <v>44</v>
      </c>
      <c r="O61" s="6" t="s">
        <v>44</v>
      </c>
      <c r="P61" s="6" t="s">
        <v>256</v>
      </c>
      <c r="Q61" s="6"/>
    </row>
    <row r="62" spans="1:17">
      <c r="A62" s="3" t="s">
        <v>10</v>
      </c>
      <c r="B62" s="3" t="s">
        <v>257</v>
      </c>
      <c r="C62" s="3" t="s">
        <v>251</v>
      </c>
      <c r="D62" s="3" t="s">
        <v>258</v>
      </c>
      <c r="E62" s="3" t="s">
        <v>41</v>
      </c>
      <c r="J62" s="8">
        <f>IF(H62="","",H62+IF(I62="",0,I62))</f>
        <v/>
      </c>
      <c r="K62" s="8">
        <f>IF(G62&lt;&gt;"",G62,IF(F62&lt;&gt;"",F62,""))</f>
        <v/>
      </c>
      <c r="L62" s="3" t="s">
        <v>42</v>
      </c>
      <c r="M62" s="3" t="s">
        <v>168</v>
      </c>
      <c r="N62" s="3" t="s">
        <v>44</v>
      </c>
      <c r="O62" s="3" t="s">
        <v>44</v>
      </c>
      <c r="P62" s="3" t="s">
        <v>259</v>
      </c>
      <c r="Q62" s="3"/>
    </row>
    <row r="63" spans="1:17">
      <c r="A63" s="6" t="s">
        <v>10</v>
      </c>
      <c r="B63" s="6" t="s">
        <v>260</v>
      </c>
      <c r="C63" s="6" t="s">
        <v>251</v>
      </c>
      <c r="D63" s="6" t="s">
        <v>261</v>
      </c>
      <c r="E63" s="6" t="s">
        <v>41</v>
      </c>
      <c r="J63" s="9">
        <f>IF(H63="","",H63+IF(I63="",0,I63))</f>
        <v/>
      </c>
      <c r="K63" s="9">
        <f>IF(G63&lt;&gt;"",G63,IF(F63&lt;&gt;"",F63,""))</f>
        <v/>
      </c>
      <c r="L63" s="6" t="s">
        <v>42</v>
      </c>
      <c r="M63" s="6" t="s">
        <v>168</v>
      </c>
      <c r="N63" s="6" t="s">
        <v>44</v>
      </c>
      <c r="O63" s="6" t="s">
        <v>44</v>
      </c>
      <c r="P63" s="6" t="s">
        <v>262</v>
      </c>
      <c r="Q63" s="6"/>
    </row>
    <row r="64" spans="1:17">
      <c r="A64" s="3" t="s">
        <v>10</v>
      </c>
      <c r="B64" s="3" t="s">
        <v>263</v>
      </c>
      <c r="C64" s="3" t="s">
        <v>251</v>
      </c>
      <c r="D64" s="3" t="s">
        <v>264</v>
      </c>
      <c r="E64" s="3" t="s">
        <v>41</v>
      </c>
      <c r="J64" s="8">
        <f>IF(H64="","",H64+IF(I64="",0,I64))</f>
        <v/>
      </c>
      <c r="K64" s="8">
        <f>IF(G64&lt;&gt;"",G64,IF(F64&lt;&gt;"",F64,""))</f>
        <v/>
      </c>
      <c r="L64" s="3" t="s">
        <v>42</v>
      </c>
      <c r="M64" s="3" t="s">
        <v>168</v>
      </c>
      <c r="N64" s="3" t="s">
        <v>44</v>
      </c>
      <c r="O64" s="3" t="s">
        <v>44</v>
      </c>
      <c r="P64" s="3" t="s">
        <v>265</v>
      </c>
      <c r="Q64" s="3"/>
    </row>
    <row r="65" spans="1:17">
      <c r="A65" s="6" t="s">
        <v>10</v>
      </c>
      <c r="B65" s="6" t="s">
        <v>266</v>
      </c>
      <c r="C65" s="6" t="s">
        <v>251</v>
      </c>
      <c r="D65" s="6" t="s">
        <v>267</v>
      </c>
      <c r="E65" s="6" t="s">
        <v>41</v>
      </c>
      <c r="J65" s="9">
        <f>IF(H65="","",H65+IF(I65="",0,I65))</f>
        <v/>
      </c>
      <c r="K65" s="9">
        <f>IF(G65&lt;&gt;"",G65,IF(F65&lt;&gt;"",F65,""))</f>
        <v/>
      </c>
      <c r="L65" s="6" t="s">
        <v>42</v>
      </c>
      <c r="M65" s="6" t="s">
        <v>268</v>
      </c>
      <c r="N65" s="6" t="s">
        <v>44</v>
      </c>
      <c r="O65" s="6" t="s">
        <v>44</v>
      </c>
      <c r="P65" s="6" t="s">
        <v>269</v>
      </c>
      <c r="Q65" s="6"/>
    </row>
    <row r="66" spans="1:17">
      <c r="A66" s="3" t="s">
        <v>10</v>
      </c>
      <c r="B66" s="3" t="s">
        <v>270</v>
      </c>
      <c r="C66" s="3" t="s">
        <v>251</v>
      </c>
      <c r="D66" s="3" t="s">
        <v>271</v>
      </c>
      <c r="E66" s="3" t="s">
        <v>41</v>
      </c>
      <c r="J66" s="8">
        <f>IF(H66="","",H66+IF(I66="",0,I66))</f>
        <v/>
      </c>
      <c r="K66" s="8">
        <f>IF(G66&lt;&gt;"",G66,IF(F66&lt;&gt;"",F66,""))</f>
        <v/>
      </c>
      <c r="L66" s="3" t="s">
        <v>42</v>
      </c>
      <c r="M66" s="3" t="s">
        <v>193</v>
      </c>
      <c r="N66" s="3" t="s">
        <v>44</v>
      </c>
      <c r="O66" s="3" t="s">
        <v>44</v>
      </c>
      <c r="P66" s="3" t="s">
        <v>272</v>
      </c>
      <c r="Q66" s="3"/>
    </row>
    <row r="67" spans="1:17">
      <c r="A67" s="6" t="s">
        <v>10</v>
      </c>
      <c r="B67" s="6" t="s">
        <v>273</v>
      </c>
      <c r="C67" s="6" t="s">
        <v>251</v>
      </c>
      <c r="D67" s="6" t="s">
        <v>274</v>
      </c>
      <c r="E67" s="6" t="s">
        <v>41</v>
      </c>
      <c r="J67" s="9">
        <f>IF(H67="","",H67+IF(I67="",0,I67))</f>
        <v/>
      </c>
      <c r="K67" s="9">
        <f>IF(G67&lt;&gt;"",G67,IF(F67&lt;&gt;"",F67,""))</f>
        <v/>
      </c>
      <c r="L67" s="6" t="s">
        <v>42</v>
      </c>
      <c r="M67" s="6" t="s">
        <v>168</v>
      </c>
      <c r="N67" s="6" t="s">
        <v>44</v>
      </c>
      <c r="O67" s="6" t="s">
        <v>44</v>
      </c>
      <c r="P67" s="6" t="s">
        <v>275</v>
      </c>
      <c r="Q67" s="6"/>
    </row>
    <row r="68" spans="1:17">
      <c r="A68" s="3" t="s">
        <v>10</v>
      </c>
      <c r="B68" s="3" t="s">
        <v>276</v>
      </c>
      <c r="C68" s="3" t="s">
        <v>251</v>
      </c>
      <c r="D68" s="3" t="s">
        <v>277</v>
      </c>
      <c r="E68" s="3" t="s">
        <v>41</v>
      </c>
      <c r="J68" s="8">
        <f>IF(H68="","",H68+IF(I68="",0,I68))</f>
        <v/>
      </c>
      <c r="K68" s="8">
        <f>IF(G68&lt;&gt;"",G68,IF(F68&lt;&gt;"",F68,""))</f>
        <v/>
      </c>
      <c r="L68" s="3" t="s">
        <v>42</v>
      </c>
      <c r="M68" s="3" t="s">
        <v>168</v>
      </c>
      <c r="N68" s="3" t="s">
        <v>44</v>
      </c>
      <c r="O68" s="3" t="s">
        <v>44</v>
      </c>
      <c r="P68" s="3" t="s">
        <v>278</v>
      </c>
      <c r="Q68" s="3"/>
    </row>
    <row r="69" spans="1:17">
      <c r="A69" s="6" t="s">
        <v>10</v>
      </c>
      <c r="B69" s="6" t="s">
        <v>279</v>
      </c>
      <c r="C69" s="6" t="s">
        <v>251</v>
      </c>
      <c r="D69" s="6" t="s">
        <v>280</v>
      </c>
      <c r="E69" s="6" t="s">
        <v>41</v>
      </c>
      <c r="J69" s="9">
        <f>IF(H69="","",H69+IF(I69="",0,I69))</f>
        <v/>
      </c>
      <c r="K69" s="9">
        <f>IF(G69&lt;&gt;"",G69,IF(F69&lt;&gt;"",F69,""))</f>
        <v/>
      </c>
      <c r="L69" s="6" t="s">
        <v>42</v>
      </c>
      <c r="M69" s="6" t="s">
        <v>281</v>
      </c>
      <c r="N69" s="6" t="s">
        <v>44</v>
      </c>
      <c r="O69" s="6" t="s">
        <v>44</v>
      </c>
      <c r="P69" s="6" t="s">
        <v>282</v>
      </c>
      <c r="Q69" s="6"/>
    </row>
    <row r="70" spans="1:17">
      <c r="A70" s="3" t="s">
        <v>10</v>
      </c>
      <c r="B70" s="3" t="s">
        <v>283</v>
      </c>
      <c r="C70" s="3" t="s">
        <v>251</v>
      </c>
      <c r="D70" s="3" t="s">
        <v>284</v>
      </c>
      <c r="E70" s="3" t="s">
        <v>41</v>
      </c>
      <c r="J70" s="8">
        <f>IF(H70="","",H70+IF(I70="",0,I70))</f>
        <v/>
      </c>
      <c r="K70" s="8">
        <f>IF(G70&lt;&gt;"",G70,IF(F70&lt;&gt;"",F70,""))</f>
        <v/>
      </c>
      <c r="L70" s="3" t="s">
        <v>42</v>
      </c>
      <c r="M70" s="3" t="s">
        <v>285</v>
      </c>
      <c r="N70" s="3" t="s">
        <v>44</v>
      </c>
      <c r="O70" s="3" t="s">
        <v>44</v>
      </c>
      <c r="P70" s="3" t="s">
        <v>286</v>
      </c>
      <c r="Q70" s="3"/>
    </row>
    <row r="71" spans="1:17">
      <c r="A71" s="6" t="s">
        <v>10</v>
      </c>
      <c r="B71" s="6" t="s">
        <v>287</v>
      </c>
      <c r="C71" s="6" t="s">
        <v>251</v>
      </c>
      <c r="D71" s="6" t="s">
        <v>288</v>
      </c>
      <c r="E71" s="6" t="s">
        <v>41</v>
      </c>
      <c r="J71" s="9">
        <f>IF(H71="","",H71+IF(I71="",0,I71))</f>
        <v/>
      </c>
      <c r="K71" s="9">
        <f>IF(G71&lt;&gt;"",G71,IF(F71&lt;&gt;"",F71,""))</f>
        <v/>
      </c>
      <c r="L71" s="6" t="s">
        <v>42</v>
      </c>
      <c r="M71" s="6" t="s">
        <v>289</v>
      </c>
      <c r="N71" s="6" t="s">
        <v>44</v>
      </c>
      <c r="O71" s="6" t="s">
        <v>44</v>
      </c>
      <c r="P71" s="6" t="s">
        <v>290</v>
      </c>
      <c r="Q71" s="6"/>
    </row>
    <row r="72" spans="1:17">
      <c r="A72" s="3" t="s">
        <v>10</v>
      </c>
      <c r="B72" s="3" t="s">
        <v>291</v>
      </c>
      <c r="C72" s="3" t="s">
        <v>251</v>
      </c>
      <c r="D72" s="3" t="s">
        <v>292</v>
      </c>
      <c r="E72" s="3" t="s">
        <v>41</v>
      </c>
      <c r="J72" s="8">
        <f>IF(H72="","",H72+IF(I72="",0,I72))</f>
        <v/>
      </c>
      <c r="K72" s="8">
        <f>IF(G72&lt;&gt;"",G72,IF(F72&lt;&gt;"",F72,""))</f>
        <v/>
      </c>
      <c r="L72" s="3" t="s">
        <v>42</v>
      </c>
      <c r="M72" s="3" t="s">
        <v>293</v>
      </c>
      <c r="N72" s="3" t="s">
        <v>44</v>
      </c>
      <c r="O72" s="3" t="s">
        <v>44</v>
      </c>
      <c r="P72" s="3" t="s">
        <v>294</v>
      </c>
      <c r="Q72" s="3"/>
    </row>
    <row r="73" spans="1:17">
      <c r="A73" s="6" t="s">
        <v>10</v>
      </c>
      <c r="B73" s="6" t="s">
        <v>295</v>
      </c>
      <c r="C73" s="6" t="s">
        <v>251</v>
      </c>
      <c r="D73" s="6" t="s">
        <v>296</v>
      </c>
      <c r="E73" s="6" t="s">
        <v>41</v>
      </c>
      <c r="J73" s="9">
        <f>IF(H73="","",H73+IF(I73="",0,I73))</f>
        <v/>
      </c>
      <c r="K73" s="9">
        <f>IF(G73&lt;&gt;"",G73,IF(F73&lt;&gt;"",F73,""))</f>
        <v/>
      </c>
      <c r="L73" s="6" t="s">
        <v>42</v>
      </c>
      <c r="M73" s="6" t="s">
        <v>293</v>
      </c>
      <c r="N73" s="6" t="s">
        <v>44</v>
      </c>
      <c r="O73" s="6" t="s">
        <v>44</v>
      </c>
      <c r="P73" s="6" t="s">
        <v>297</v>
      </c>
      <c r="Q73" s="6"/>
    </row>
    <row r="74" spans="1:17">
      <c r="A74" s="3" t="s">
        <v>10</v>
      </c>
      <c r="B74" s="3" t="s">
        <v>298</v>
      </c>
      <c r="C74" s="3" t="s">
        <v>251</v>
      </c>
      <c r="D74" s="3" t="s">
        <v>299</v>
      </c>
      <c r="E74" s="3" t="s">
        <v>41</v>
      </c>
      <c r="J74" s="8">
        <f>IF(H74="","",H74+IF(I74="",0,I74))</f>
        <v/>
      </c>
      <c r="K74" s="8">
        <f>IF(G74&lt;&gt;"",G74,IF(F74&lt;&gt;"",F74,""))</f>
        <v/>
      </c>
      <c r="L74" s="3" t="s">
        <v>42</v>
      </c>
      <c r="M74" s="3" t="s">
        <v>216</v>
      </c>
      <c r="N74" s="3" t="s">
        <v>44</v>
      </c>
      <c r="O74" s="3" t="s">
        <v>44</v>
      </c>
      <c r="P74" s="3" t="s">
        <v>300</v>
      </c>
      <c r="Q74" s="3"/>
    </row>
    <row r="75" spans="1:17">
      <c r="A75" s="6" t="s">
        <v>10</v>
      </c>
      <c r="B75" s="6" t="s">
        <v>301</v>
      </c>
      <c r="C75" s="6" t="s">
        <v>251</v>
      </c>
      <c r="D75" s="6" t="s">
        <v>302</v>
      </c>
      <c r="E75" s="6" t="s">
        <v>41</v>
      </c>
      <c r="J75" s="9">
        <f>IF(H75="","",H75+IF(I75="",0,I75))</f>
        <v/>
      </c>
      <c r="K75" s="9">
        <f>IF(G75&lt;&gt;"",G75,IF(F75&lt;&gt;"",F75,""))</f>
        <v/>
      </c>
      <c r="L75" s="6" t="s">
        <v>42</v>
      </c>
      <c r="M75" s="6" t="s">
        <v>303</v>
      </c>
      <c r="N75" s="6" t="s">
        <v>44</v>
      </c>
      <c r="O75" s="6" t="s">
        <v>44</v>
      </c>
      <c r="P75" s="6" t="s">
        <v>304</v>
      </c>
      <c r="Q75" s="6"/>
    </row>
    <row r="76" spans="1:17">
      <c r="A76" s="3" t="s">
        <v>10</v>
      </c>
      <c r="B76" s="3" t="s">
        <v>305</v>
      </c>
      <c r="C76" s="3" t="s">
        <v>251</v>
      </c>
      <c r="D76" s="3" t="s">
        <v>306</v>
      </c>
      <c r="E76" s="3" t="s">
        <v>41</v>
      </c>
      <c r="J76" s="8">
        <f>IF(H76="","",H76+IF(I76="",0,I76))</f>
        <v/>
      </c>
      <c r="K76" s="8">
        <f>IF(G76&lt;&gt;"",G76,IF(F76&lt;&gt;"",F76,""))</f>
        <v/>
      </c>
      <c r="L76" s="3" t="s">
        <v>42</v>
      </c>
      <c r="M76" s="3" t="s">
        <v>303</v>
      </c>
      <c r="N76" s="3" t="s">
        <v>44</v>
      </c>
      <c r="O76" s="3" t="s">
        <v>44</v>
      </c>
      <c r="P76" s="3" t="s">
        <v>307</v>
      </c>
      <c r="Q76" s="3"/>
    </row>
    <row r="77" spans="1:17">
      <c r="A77" s="6" t="s">
        <v>10</v>
      </c>
      <c r="B77" s="6" t="s">
        <v>308</v>
      </c>
      <c r="C77" s="6" t="s">
        <v>251</v>
      </c>
      <c r="D77" s="6" t="s">
        <v>309</v>
      </c>
      <c r="E77" s="6" t="s">
        <v>41</v>
      </c>
      <c r="J77" s="9">
        <f>IF(H77="","",H77+IF(I77="",0,I77))</f>
        <v/>
      </c>
      <c r="K77" s="9">
        <f>IF(G77&lt;&gt;"",G77,IF(F77&lt;&gt;"",F77,""))</f>
        <v/>
      </c>
      <c r="L77" s="6" t="s">
        <v>42</v>
      </c>
      <c r="M77" s="6" t="s">
        <v>303</v>
      </c>
      <c r="N77" s="6" t="s">
        <v>44</v>
      </c>
      <c r="O77" s="6" t="s">
        <v>44</v>
      </c>
      <c r="P77" s="6" t="s">
        <v>310</v>
      </c>
      <c r="Q77" s="6"/>
    </row>
    <row r="78" spans="1:17">
      <c r="A78" s="3" t="s">
        <v>10</v>
      </c>
      <c r="B78" s="3" t="s">
        <v>311</v>
      </c>
      <c r="C78" s="3" t="s">
        <v>251</v>
      </c>
      <c r="D78" s="3" t="s">
        <v>312</v>
      </c>
      <c r="E78" s="3" t="s">
        <v>41</v>
      </c>
      <c r="J78" s="8">
        <f>IF(H78="","",H78+IF(I78="",0,I78))</f>
        <v/>
      </c>
      <c r="K78" s="8">
        <f>IF(G78&lt;&gt;"",G78,IF(F78&lt;&gt;"",F78,""))</f>
        <v/>
      </c>
      <c r="L78" s="3" t="s">
        <v>42</v>
      </c>
      <c r="M78" s="3" t="s">
        <v>313</v>
      </c>
      <c r="N78" s="3" t="s">
        <v>44</v>
      </c>
      <c r="O78" s="3" t="s">
        <v>44</v>
      </c>
      <c r="P78" s="3" t="s">
        <v>314</v>
      </c>
      <c r="Q78" s="3"/>
    </row>
    <row r="79" spans="1:17">
      <c r="A79" s="6" t="s">
        <v>10</v>
      </c>
      <c r="B79" s="6" t="s">
        <v>315</v>
      </c>
      <c r="C79" s="6" t="s">
        <v>251</v>
      </c>
      <c r="D79" s="6" t="s">
        <v>316</v>
      </c>
      <c r="E79" s="6" t="s">
        <v>41</v>
      </c>
      <c r="J79" s="9">
        <f>IF(H79="","",H79+IF(I79="",0,I79))</f>
        <v/>
      </c>
      <c r="K79" s="9">
        <f>IF(G79&lt;&gt;"",G79,IF(F79&lt;&gt;"",F79,""))</f>
        <v/>
      </c>
      <c r="L79" s="6" t="s">
        <v>42</v>
      </c>
      <c r="M79" s="6" t="s">
        <v>313</v>
      </c>
      <c r="N79" s="6" t="s">
        <v>44</v>
      </c>
      <c r="O79" s="6" t="s">
        <v>44</v>
      </c>
      <c r="P79" s="6" t="s">
        <v>317</v>
      </c>
      <c r="Q79" s="6"/>
    </row>
    <row r="80" spans="1:17">
      <c r="A80" s="3" t="s">
        <v>10</v>
      </c>
      <c r="B80" s="3" t="s">
        <v>318</v>
      </c>
      <c r="C80" s="3" t="s">
        <v>251</v>
      </c>
      <c r="D80" s="3" t="s">
        <v>319</v>
      </c>
      <c r="E80" s="3" t="s">
        <v>41</v>
      </c>
      <c r="J80" s="8">
        <f>IF(H80="","",H80+IF(I80="",0,I80))</f>
        <v/>
      </c>
      <c r="K80" s="8">
        <f>IF(G80&lt;&gt;"",G80,IF(F80&lt;&gt;"",F80,""))</f>
        <v/>
      </c>
      <c r="L80" s="3" t="s">
        <v>42</v>
      </c>
      <c r="M80" s="3" t="s">
        <v>313</v>
      </c>
      <c r="N80" s="3" t="s">
        <v>44</v>
      </c>
      <c r="O80" s="3" t="s">
        <v>44</v>
      </c>
      <c r="P80" s="3" t="s">
        <v>320</v>
      </c>
      <c r="Q80" s="3"/>
    </row>
    <row r="81" spans="1:17">
      <c r="A81" s="6" t="s">
        <v>10</v>
      </c>
      <c r="B81" s="6" t="s">
        <v>321</v>
      </c>
      <c r="C81" s="6" t="s">
        <v>251</v>
      </c>
      <c r="D81" s="6" t="s">
        <v>322</v>
      </c>
      <c r="E81" s="6" t="s">
        <v>41</v>
      </c>
      <c r="J81" s="9">
        <f>IF(H81="","",H81+IF(I81="",0,I81))</f>
        <v/>
      </c>
      <c r="K81" s="9">
        <f>IF(G81&lt;&gt;"",G81,IF(F81&lt;&gt;"",F81,""))</f>
        <v/>
      </c>
      <c r="L81" s="6" t="s">
        <v>42</v>
      </c>
      <c r="M81" s="6" t="s">
        <v>293</v>
      </c>
      <c r="N81" s="6" t="s">
        <v>44</v>
      </c>
      <c r="O81" s="6" t="s">
        <v>44</v>
      </c>
      <c r="P81" s="6" t="s">
        <v>323</v>
      </c>
      <c r="Q81" s="6"/>
    </row>
    <row r="82" spans="1:17">
      <c r="A82" s="3" t="s">
        <v>11</v>
      </c>
      <c r="B82" s="3" t="s">
        <v>324</v>
      </c>
      <c r="C82" s="3" t="s">
        <v>325</v>
      </c>
      <c r="D82" s="3" t="s">
        <v>326</v>
      </c>
      <c r="E82" s="3" t="s">
        <v>41</v>
      </c>
      <c r="J82" s="8">
        <f>IF(H82="","",H82+IF(I82="",0,I82))</f>
        <v/>
      </c>
      <c r="K82" s="8">
        <f>IF(G82&lt;&gt;"",G82,IF(F82&lt;&gt;"",F82,""))</f>
        <v/>
      </c>
      <c r="L82" s="3" t="s">
        <v>42</v>
      </c>
      <c r="M82" s="3" t="s">
        <v>327</v>
      </c>
      <c r="N82" s="3" t="s">
        <v>44</v>
      </c>
      <c r="O82" s="3" t="s">
        <v>44</v>
      </c>
      <c r="P82" s="3" t="s">
        <v>328</v>
      </c>
      <c r="Q82" s="3"/>
    </row>
    <row r="83" spans="1:17">
      <c r="A83" s="6" t="s">
        <v>11</v>
      </c>
      <c r="B83" s="6" t="s">
        <v>329</v>
      </c>
      <c r="C83" s="6" t="s">
        <v>325</v>
      </c>
      <c r="D83" s="6" t="s">
        <v>330</v>
      </c>
      <c r="E83" s="6" t="s">
        <v>41</v>
      </c>
      <c r="J83" s="9">
        <f>IF(H83="","",H83+IF(I83="",0,I83))</f>
        <v/>
      </c>
      <c r="K83" s="9">
        <f>IF(G83&lt;&gt;"",G83,IF(F83&lt;&gt;"",F83,""))</f>
        <v/>
      </c>
      <c r="L83" s="6" t="s">
        <v>42</v>
      </c>
      <c r="M83" s="6" t="s">
        <v>331</v>
      </c>
      <c r="N83" s="6" t="s">
        <v>44</v>
      </c>
      <c r="O83" s="6" t="s">
        <v>44</v>
      </c>
      <c r="P83" s="6" t="s">
        <v>332</v>
      </c>
      <c r="Q83" s="6"/>
    </row>
    <row r="84" spans="1:17">
      <c r="A84" s="3" t="s">
        <v>11</v>
      </c>
      <c r="B84" s="3" t="s">
        <v>333</v>
      </c>
      <c r="C84" s="3" t="s">
        <v>325</v>
      </c>
      <c r="D84" s="3" t="s">
        <v>334</v>
      </c>
      <c r="E84" s="3" t="s">
        <v>41</v>
      </c>
      <c r="J84" s="8">
        <f>IF(H84="","",H84+IF(I84="",0,I84))</f>
        <v/>
      </c>
      <c r="K84" s="8">
        <f>IF(G84&lt;&gt;"",G84,IF(F84&lt;&gt;"",F84,""))</f>
        <v/>
      </c>
      <c r="L84" s="3" t="s">
        <v>42</v>
      </c>
      <c r="M84" s="3" t="s">
        <v>335</v>
      </c>
      <c r="N84" s="3" t="s">
        <v>44</v>
      </c>
      <c r="O84" s="3" t="s">
        <v>44</v>
      </c>
      <c r="P84" s="3" t="s">
        <v>336</v>
      </c>
      <c r="Q84" s="3"/>
    </row>
    <row r="85" spans="1:17">
      <c r="A85" s="6" t="s">
        <v>11</v>
      </c>
      <c r="B85" s="6" t="s">
        <v>337</v>
      </c>
      <c r="C85" s="6" t="s">
        <v>325</v>
      </c>
      <c r="D85" s="6" t="s">
        <v>338</v>
      </c>
      <c r="E85" s="6" t="s">
        <v>41</v>
      </c>
      <c r="J85" s="9">
        <f>IF(H85="","",H85+IF(I85="",0,I85))</f>
        <v/>
      </c>
      <c r="K85" s="9">
        <f>IF(G85&lt;&gt;"",G85,IF(F85&lt;&gt;"",F85,""))</f>
        <v/>
      </c>
      <c r="L85" s="6" t="s">
        <v>42</v>
      </c>
      <c r="M85" s="6" t="s">
        <v>339</v>
      </c>
      <c r="N85" s="6" t="s">
        <v>44</v>
      </c>
      <c r="O85" s="6" t="s">
        <v>44</v>
      </c>
      <c r="P85" s="6" t="s">
        <v>340</v>
      </c>
      <c r="Q85" s="6"/>
    </row>
    <row r="86" spans="1:17">
      <c r="A86" s="3" t="s">
        <v>11</v>
      </c>
      <c r="B86" s="3" t="s">
        <v>341</v>
      </c>
      <c r="C86" s="3" t="s">
        <v>325</v>
      </c>
      <c r="D86" s="3" t="s">
        <v>342</v>
      </c>
      <c r="E86" s="3" t="s">
        <v>41</v>
      </c>
      <c r="J86" s="8">
        <f>IF(H86="","",H86+IF(I86="",0,I86))</f>
        <v/>
      </c>
      <c r="K86" s="8">
        <f>IF(G86&lt;&gt;"",G86,IF(F86&lt;&gt;"",F86,""))</f>
        <v/>
      </c>
      <c r="L86" s="3" t="s">
        <v>42</v>
      </c>
      <c r="M86" s="3" t="s">
        <v>343</v>
      </c>
      <c r="N86" s="3" t="s">
        <v>44</v>
      </c>
      <c r="O86" s="3" t="s">
        <v>44</v>
      </c>
      <c r="P86" s="3" t="s">
        <v>344</v>
      </c>
      <c r="Q86" s="3"/>
    </row>
    <row r="87" spans="1:17">
      <c r="A87" s="6" t="s">
        <v>11</v>
      </c>
      <c r="B87" s="6" t="s">
        <v>345</v>
      </c>
      <c r="C87" s="6" t="s">
        <v>325</v>
      </c>
      <c r="D87" s="6" t="s">
        <v>346</v>
      </c>
      <c r="E87" s="6" t="s">
        <v>41</v>
      </c>
      <c r="J87" s="9">
        <f>IF(H87="","",H87+IF(I87="",0,I87))</f>
        <v/>
      </c>
      <c r="K87" s="9">
        <f>IF(G87&lt;&gt;"",G87,IF(F87&lt;&gt;"",F87,""))</f>
        <v/>
      </c>
      <c r="L87" s="6" t="s">
        <v>42</v>
      </c>
      <c r="M87" s="6" t="s">
        <v>347</v>
      </c>
      <c r="N87" s="6" t="s">
        <v>44</v>
      </c>
      <c r="O87" s="6" t="s">
        <v>44</v>
      </c>
      <c r="P87" s="6" t="s">
        <v>348</v>
      </c>
      <c r="Q87" s="6"/>
    </row>
    <row r="88" spans="1:17">
      <c r="A88" s="3" t="s">
        <v>11</v>
      </c>
      <c r="B88" s="3" t="s">
        <v>349</v>
      </c>
      <c r="C88" s="3" t="s">
        <v>350</v>
      </c>
      <c r="D88" s="3" t="s">
        <v>351</v>
      </c>
      <c r="E88" s="3" t="s">
        <v>41</v>
      </c>
      <c r="J88" s="8">
        <f>IF(H88="","",H88+IF(I88="",0,I88))</f>
        <v/>
      </c>
      <c r="K88" s="8">
        <f>IF(G88&lt;&gt;"",G88,IF(F88&lt;&gt;"",F88,""))</f>
        <v/>
      </c>
      <c r="L88" s="3" t="s">
        <v>42</v>
      </c>
      <c r="M88" s="3" t="s">
        <v>352</v>
      </c>
      <c r="N88" s="3" t="s">
        <v>44</v>
      </c>
      <c r="O88" s="3" t="s">
        <v>44</v>
      </c>
      <c r="P88" s="3" t="s">
        <v>353</v>
      </c>
      <c r="Q88" s="3"/>
    </row>
    <row r="89" spans="1:17">
      <c r="A89" s="6" t="s">
        <v>11</v>
      </c>
      <c r="B89" s="6" t="s">
        <v>354</v>
      </c>
      <c r="C89" s="6" t="s">
        <v>350</v>
      </c>
      <c r="D89" s="6" t="s">
        <v>355</v>
      </c>
      <c r="E89" s="6" t="s">
        <v>41</v>
      </c>
      <c r="J89" s="9">
        <f>IF(H89="","",H89+IF(I89="",0,I89))</f>
        <v/>
      </c>
      <c r="K89" s="9">
        <f>IF(G89&lt;&gt;"",G89,IF(F89&lt;&gt;"",F89,""))</f>
        <v/>
      </c>
      <c r="L89" s="6" t="s">
        <v>42</v>
      </c>
      <c r="M89" s="6" t="s">
        <v>356</v>
      </c>
      <c r="N89" s="6" t="s">
        <v>44</v>
      </c>
      <c r="O89" s="6" t="s">
        <v>44</v>
      </c>
      <c r="P89" s="6" t="s">
        <v>357</v>
      </c>
      <c r="Q89" s="6"/>
    </row>
    <row r="90" spans="1:17">
      <c r="A90" s="3" t="s">
        <v>11</v>
      </c>
      <c r="B90" s="3" t="s">
        <v>358</v>
      </c>
      <c r="C90" s="3" t="s">
        <v>350</v>
      </c>
      <c r="D90" s="3" t="s">
        <v>359</v>
      </c>
      <c r="E90" s="3" t="s">
        <v>41</v>
      </c>
      <c r="J90" s="8">
        <f>IF(H90="","",H90+IF(I90="",0,I90))</f>
        <v/>
      </c>
      <c r="K90" s="8">
        <f>IF(G90&lt;&gt;"",G90,IF(F90&lt;&gt;"",F90,""))</f>
        <v/>
      </c>
      <c r="L90" s="3" t="s">
        <v>42</v>
      </c>
      <c r="M90" s="3" t="s">
        <v>360</v>
      </c>
      <c r="N90" s="3" t="s">
        <v>44</v>
      </c>
      <c r="O90" s="3" t="s">
        <v>44</v>
      </c>
      <c r="P90" s="3" t="s">
        <v>361</v>
      </c>
      <c r="Q90" s="3"/>
    </row>
    <row r="91" spans="1:17">
      <c r="A91" s="6" t="s">
        <v>11</v>
      </c>
      <c r="B91" s="6" t="s">
        <v>362</v>
      </c>
      <c r="C91" s="6" t="s">
        <v>350</v>
      </c>
      <c r="D91" s="6" t="s">
        <v>363</v>
      </c>
      <c r="E91" s="6" t="s">
        <v>41</v>
      </c>
      <c r="J91" s="9">
        <f>IF(H91="","",H91+IF(I91="",0,I91))</f>
        <v/>
      </c>
      <c r="K91" s="9">
        <f>IF(G91&lt;&gt;"",G91,IF(F91&lt;&gt;"",F91,""))</f>
        <v/>
      </c>
      <c r="L91" s="6" t="s">
        <v>42</v>
      </c>
      <c r="M91" s="6" t="s">
        <v>356</v>
      </c>
      <c r="N91" s="6" t="s">
        <v>44</v>
      </c>
      <c r="O91" s="6" t="s">
        <v>44</v>
      </c>
      <c r="P91" s="6" t="s">
        <v>364</v>
      </c>
      <c r="Q91" s="6"/>
    </row>
    <row r="92" spans="1:17">
      <c r="A92" s="3" t="s">
        <v>11</v>
      </c>
      <c r="B92" s="3" t="s">
        <v>365</v>
      </c>
      <c r="C92" s="3" t="s">
        <v>350</v>
      </c>
      <c r="D92" s="3" t="s">
        <v>366</v>
      </c>
      <c r="E92" s="3" t="s">
        <v>41</v>
      </c>
      <c r="J92" s="8">
        <f>IF(H92="","",H92+IF(I92="",0,I92))</f>
        <v/>
      </c>
      <c r="K92" s="8">
        <f>IF(G92&lt;&gt;"",G92,IF(F92&lt;&gt;"",F92,""))</f>
        <v/>
      </c>
      <c r="L92" s="3" t="s">
        <v>42</v>
      </c>
      <c r="M92" s="3" t="s">
        <v>347</v>
      </c>
      <c r="N92" s="3" t="s">
        <v>44</v>
      </c>
      <c r="O92" s="3" t="s">
        <v>44</v>
      </c>
      <c r="P92" s="3" t="s">
        <v>367</v>
      </c>
      <c r="Q92" s="3"/>
    </row>
    <row r="93" spans="1:17">
      <c r="A93" s="6" t="s">
        <v>11</v>
      </c>
      <c r="B93" s="6" t="s">
        <v>368</v>
      </c>
      <c r="C93" s="6" t="s">
        <v>350</v>
      </c>
      <c r="D93" s="6" t="s">
        <v>369</v>
      </c>
      <c r="E93" s="6" t="s">
        <v>41</v>
      </c>
      <c r="J93" s="9">
        <f>IF(H93="","",H93+IF(I93="",0,I93))</f>
        <v/>
      </c>
      <c r="K93" s="9">
        <f>IF(G93&lt;&gt;"",G93,IF(F93&lt;&gt;"",F93,""))</f>
        <v/>
      </c>
      <c r="L93" s="6" t="s">
        <v>42</v>
      </c>
      <c r="M93" s="6" t="s">
        <v>370</v>
      </c>
      <c r="N93" s="6" t="s">
        <v>44</v>
      </c>
      <c r="O93" s="6" t="s">
        <v>44</v>
      </c>
      <c r="P93" s="6" t="s">
        <v>371</v>
      </c>
      <c r="Q93" s="6"/>
    </row>
    <row r="94" spans="1:17">
      <c r="A94" s="3" t="s">
        <v>11</v>
      </c>
      <c r="B94" s="3" t="s">
        <v>372</v>
      </c>
      <c r="C94" s="3" t="s">
        <v>350</v>
      </c>
      <c r="D94" s="3" t="s">
        <v>373</v>
      </c>
      <c r="E94" s="3" t="s">
        <v>41</v>
      </c>
      <c r="J94" s="8">
        <f>IF(H94="","",H94+IF(I94="",0,I94))</f>
        <v/>
      </c>
      <c r="K94" s="8">
        <f>IF(G94&lt;&gt;"",G94,IF(F94&lt;&gt;"",F94,""))</f>
        <v/>
      </c>
      <c r="L94" s="3" t="s">
        <v>42</v>
      </c>
      <c r="M94" s="3" t="s">
        <v>327</v>
      </c>
      <c r="N94" s="3" t="s">
        <v>44</v>
      </c>
      <c r="O94" s="3" t="s">
        <v>44</v>
      </c>
      <c r="P94" s="3" t="s">
        <v>374</v>
      </c>
      <c r="Q94" s="3"/>
    </row>
    <row r="95" spans="1:17">
      <c r="A95" s="6" t="s">
        <v>11</v>
      </c>
      <c r="B95" s="6" t="s">
        <v>375</v>
      </c>
      <c r="C95" s="6" t="s">
        <v>350</v>
      </c>
      <c r="D95" s="6" t="s">
        <v>376</v>
      </c>
      <c r="E95" s="6" t="s">
        <v>41</v>
      </c>
      <c r="J95" s="9">
        <f>IF(H95="","",H95+IF(I95="",0,I95))</f>
        <v/>
      </c>
      <c r="K95" s="9">
        <f>IF(G95&lt;&gt;"",G95,IF(F95&lt;&gt;"",F95,""))</f>
        <v/>
      </c>
      <c r="L95" s="6" t="s">
        <v>42</v>
      </c>
      <c r="M95" s="6" t="s">
        <v>377</v>
      </c>
      <c r="N95" s="6" t="s">
        <v>44</v>
      </c>
      <c r="O95" s="6" t="s">
        <v>44</v>
      </c>
      <c r="P95" s="6" t="s">
        <v>378</v>
      </c>
      <c r="Q95" s="6"/>
    </row>
    <row r="96" spans="1:17">
      <c r="A96" s="3" t="s">
        <v>11</v>
      </c>
      <c r="B96" s="3" t="s">
        <v>379</v>
      </c>
      <c r="C96" s="3" t="s">
        <v>350</v>
      </c>
      <c r="D96" s="3" t="s">
        <v>380</v>
      </c>
      <c r="E96" s="3" t="s">
        <v>41</v>
      </c>
      <c r="J96" s="8">
        <f>IF(H96="","",H96+IF(I96="",0,I96))</f>
        <v/>
      </c>
      <c r="K96" s="8">
        <f>IF(G96&lt;&gt;"",G96,IF(F96&lt;&gt;"",F96,""))</f>
        <v/>
      </c>
      <c r="L96" s="3" t="s">
        <v>42</v>
      </c>
      <c r="M96" s="3" t="s">
        <v>381</v>
      </c>
      <c r="N96" s="3" t="s">
        <v>44</v>
      </c>
      <c r="O96" s="3" t="s">
        <v>44</v>
      </c>
      <c r="P96" s="3" t="s">
        <v>382</v>
      </c>
      <c r="Q96" s="3"/>
    </row>
    <row r="97" spans="1:17">
      <c r="A97" s="6" t="s">
        <v>11</v>
      </c>
      <c r="B97" s="6" t="s">
        <v>383</v>
      </c>
      <c r="C97" s="6" t="s">
        <v>350</v>
      </c>
      <c r="D97" s="6" t="s">
        <v>384</v>
      </c>
      <c r="E97" s="6" t="s">
        <v>67</v>
      </c>
      <c r="J97" s="9">
        <f>IF(H97="","",H97+IF(I97="",0,I97))</f>
        <v/>
      </c>
      <c r="K97" s="9">
        <f>IF(G97&lt;&gt;"",G97,IF(F97&lt;&gt;"",F97,""))</f>
        <v/>
      </c>
      <c r="L97" s="6" t="s">
        <v>42</v>
      </c>
      <c r="M97" s="6" t="s">
        <v>385</v>
      </c>
      <c r="N97" s="6" t="s">
        <v>44</v>
      </c>
      <c r="O97" s="6" t="s">
        <v>44</v>
      </c>
      <c r="P97" s="6" t="s">
        <v>386</v>
      </c>
      <c r="Q97" s="6"/>
    </row>
    <row r="98" spans="1:17">
      <c r="A98" s="3" t="s">
        <v>11</v>
      </c>
      <c r="B98" s="3" t="s">
        <v>387</v>
      </c>
      <c r="C98" s="3" t="s">
        <v>350</v>
      </c>
      <c r="D98" s="3" t="s">
        <v>388</v>
      </c>
      <c r="E98" s="3" t="s">
        <v>41</v>
      </c>
      <c r="J98" s="8">
        <f>IF(H98="","",H98+IF(I98="",0,I98))</f>
        <v/>
      </c>
      <c r="K98" s="8">
        <f>IF(G98&lt;&gt;"",G98,IF(F98&lt;&gt;"",F98,""))</f>
        <v/>
      </c>
      <c r="L98" s="3" t="s">
        <v>42</v>
      </c>
      <c r="M98" s="3" t="s">
        <v>331</v>
      </c>
      <c r="N98" s="3" t="s">
        <v>44</v>
      </c>
      <c r="O98" s="3" t="s">
        <v>44</v>
      </c>
      <c r="P98" s="3" t="s">
        <v>389</v>
      </c>
      <c r="Q98" s="3"/>
    </row>
    <row r="99" spans="1:17">
      <c r="A99" s="6" t="s">
        <v>11</v>
      </c>
      <c r="B99" s="6" t="s">
        <v>390</v>
      </c>
      <c r="C99" s="6" t="s">
        <v>350</v>
      </c>
      <c r="D99" s="6" t="s">
        <v>391</v>
      </c>
      <c r="E99" s="6" t="s">
        <v>41</v>
      </c>
      <c r="J99" s="9">
        <f>IF(H99="","",H99+IF(I99="",0,I99))</f>
        <v/>
      </c>
      <c r="K99" s="9">
        <f>IF(G99&lt;&gt;"",G99,IF(F99&lt;&gt;"",F99,""))</f>
        <v/>
      </c>
      <c r="L99" s="6" t="s">
        <v>42</v>
      </c>
      <c r="M99" s="6" t="s">
        <v>343</v>
      </c>
      <c r="N99" s="6" t="s">
        <v>44</v>
      </c>
      <c r="O99" s="6" t="s">
        <v>44</v>
      </c>
      <c r="P99" s="6" t="s">
        <v>392</v>
      </c>
      <c r="Q99" s="6"/>
    </row>
    <row r="100" spans="1:17">
      <c r="A100" s="3" t="s">
        <v>11</v>
      </c>
      <c r="B100" s="3" t="s">
        <v>393</v>
      </c>
      <c r="C100" s="3" t="s">
        <v>394</v>
      </c>
      <c r="D100" s="3" t="s">
        <v>395</v>
      </c>
      <c r="E100" s="3" t="s">
        <v>41</v>
      </c>
      <c r="J100" s="8">
        <f>IF(H100="","",H100+IF(I100="",0,I100))</f>
        <v/>
      </c>
      <c r="K100" s="8">
        <f>IF(G100&lt;&gt;"",G100,IF(F100&lt;&gt;"",F100,""))</f>
        <v/>
      </c>
      <c r="L100" s="3" t="s">
        <v>42</v>
      </c>
      <c r="M100" s="3" t="s">
        <v>327</v>
      </c>
      <c r="N100" s="3" t="s">
        <v>44</v>
      </c>
      <c r="O100" s="3" t="s">
        <v>44</v>
      </c>
      <c r="P100" s="3" t="s">
        <v>396</v>
      </c>
      <c r="Q100" s="3"/>
    </row>
    <row r="101" spans="1:17">
      <c r="A101" s="6" t="s">
        <v>11</v>
      </c>
      <c r="B101" s="6" t="s">
        <v>397</v>
      </c>
      <c r="C101" s="6" t="s">
        <v>394</v>
      </c>
      <c r="D101" s="6" t="s">
        <v>398</v>
      </c>
      <c r="E101" s="6" t="s">
        <v>41</v>
      </c>
      <c r="J101" s="9">
        <f>IF(H101="","",H101+IF(I101="",0,I101))</f>
        <v/>
      </c>
      <c r="K101" s="9">
        <f>IF(G101&lt;&gt;"",G101,IF(F101&lt;&gt;"",F101,""))</f>
        <v/>
      </c>
      <c r="L101" s="6" t="s">
        <v>42</v>
      </c>
      <c r="M101" s="6" t="s">
        <v>331</v>
      </c>
      <c r="N101" s="6" t="s">
        <v>44</v>
      </c>
      <c r="O101" s="6" t="s">
        <v>44</v>
      </c>
      <c r="P101" s="6" t="s">
        <v>399</v>
      </c>
      <c r="Q101" s="6"/>
    </row>
    <row r="102" spans="1:17">
      <c r="A102" s="3" t="s">
        <v>11</v>
      </c>
      <c r="B102" s="3" t="s">
        <v>400</v>
      </c>
      <c r="C102" s="3" t="s">
        <v>394</v>
      </c>
      <c r="D102" s="3" t="s">
        <v>401</v>
      </c>
      <c r="E102" s="3" t="s">
        <v>41</v>
      </c>
      <c r="J102" s="8">
        <f>IF(H102="","",H102+IF(I102="",0,I102))</f>
        <v/>
      </c>
      <c r="K102" s="8">
        <f>IF(G102&lt;&gt;"",G102,IF(F102&lt;&gt;"",F102,""))</f>
        <v/>
      </c>
      <c r="L102" s="3" t="s">
        <v>42</v>
      </c>
      <c r="M102" s="3" t="s">
        <v>356</v>
      </c>
      <c r="N102" s="3" t="s">
        <v>44</v>
      </c>
      <c r="O102" s="3" t="s">
        <v>44</v>
      </c>
      <c r="P102" s="3" t="s">
        <v>402</v>
      </c>
      <c r="Q102" s="3"/>
    </row>
    <row r="103" spans="1:17">
      <c r="A103" s="6" t="s">
        <v>11</v>
      </c>
      <c r="B103" s="6" t="s">
        <v>403</v>
      </c>
      <c r="C103" s="6" t="s">
        <v>394</v>
      </c>
      <c r="D103" s="6" t="s">
        <v>404</v>
      </c>
      <c r="E103" s="6" t="s">
        <v>41</v>
      </c>
      <c r="J103" s="9">
        <f>IF(H103="","",H103+IF(I103="",0,I103))</f>
        <v/>
      </c>
      <c r="K103" s="9">
        <f>IF(G103&lt;&gt;"",G103,IF(F103&lt;&gt;"",F103,""))</f>
        <v/>
      </c>
      <c r="L103" s="6" t="s">
        <v>42</v>
      </c>
      <c r="M103" s="6" t="s">
        <v>335</v>
      </c>
      <c r="N103" s="6" t="s">
        <v>44</v>
      </c>
      <c r="O103" s="6" t="s">
        <v>44</v>
      </c>
      <c r="P103" s="6" t="s">
        <v>405</v>
      </c>
      <c r="Q103" s="6"/>
    </row>
    <row r="104" spans="1:17">
      <c r="A104" s="3" t="s">
        <v>11</v>
      </c>
      <c r="B104" s="3" t="s">
        <v>406</v>
      </c>
      <c r="C104" s="3" t="s">
        <v>394</v>
      </c>
      <c r="D104" s="3" t="s">
        <v>407</v>
      </c>
      <c r="E104" s="3" t="s">
        <v>41</v>
      </c>
      <c r="J104" s="8">
        <f>IF(H104="","",H104+IF(I104="",0,I104))</f>
        <v/>
      </c>
      <c r="K104" s="8">
        <f>IF(G104&lt;&gt;"",G104,IF(F104&lt;&gt;"",F104,""))</f>
        <v/>
      </c>
      <c r="L104" s="3" t="s">
        <v>42</v>
      </c>
      <c r="M104" s="3" t="s">
        <v>360</v>
      </c>
      <c r="N104" s="3" t="s">
        <v>44</v>
      </c>
      <c r="O104" s="3" t="s">
        <v>44</v>
      </c>
      <c r="P104" s="3" t="s">
        <v>408</v>
      </c>
      <c r="Q104" s="3"/>
    </row>
    <row r="105" spans="1:17">
      <c r="A105" s="6" t="s">
        <v>11</v>
      </c>
      <c r="B105" s="6" t="s">
        <v>409</v>
      </c>
      <c r="C105" s="6" t="s">
        <v>394</v>
      </c>
      <c r="D105" s="6" t="s">
        <v>410</v>
      </c>
      <c r="E105" s="6" t="s">
        <v>41</v>
      </c>
      <c r="J105" s="9">
        <f>IF(H105="","",H105+IF(I105="",0,I105))</f>
        <v/>
      </c>
      <c r="K105" s="9">
        <f>IF(G105&lt;&gt;"",G105,IF(F105&lt;&gt;"",F105,""))</f>
        <v/>
      </c>
      <c r="L105" s="6" t="s">
        <v>42</v>
      </c>
      <c r="M105" s="6" t="s">
        <v>411</v>
      </c>
      <c r="N105" s="6" t="s">
        <v>44</v>
      </c>
      <c r="O105" s="6" t="s">
        <v>44</v>
      </c>
      <c r="P105" s="6" t="s">
        <v>412</v>
      </c>
      <c r="Q105" s="6"/>
    </row>
    <row r="106" spans="1:17">
      <c r="A106" s="3" t="s">
        <v>11</v>
      </c>
      <c r="B106" s="3" t="s">
        <v>413</v>
      </c>
      <c r="C106" s="3" t="s">
        <v>414</v>
      </c>
      <c r="D106" s="3" t="s">
        <v>415</v>
      </c>
      <c r="E106" s="3" t="s">
        <v>41</v>
      </c>
      <c r="J106" s="8">
        <f>IF(H106="","",H106+IF(I106="",0,I106))</f>
        <v/>
      </c>
      <c r="K106" s="8">
        <f>IF(G106&lt;&gt;"",G106,IF(F106&lt;&gt;"",F106,""))</f>
        <v/>
      </c>
      <c r="L106" s="3" t="s">
        <v>42</v>
      </c>
      <c r="M106" s="3" t="s">
        <v>356</v>
      </c>
      <c r="N106" s="3" t="s">
        <v>44</v>
      </c>
      <c r="O106" s="3" t="s">
        <v>44</v>
      </c>
      <c r="P106" s="3" t="s">
        <v>416</v>
      </c>
      <c r="Q106" s="3"/>
    </row>
    <row r="107" spans="1:17">
      <c r="A107" s="6" t="s">
        <v>11</v>
      </c>
      <c r="B107" s="6" t="s">
        <v>417</v>
      </c>
      <c r="C107" s="6" t="s">
        <v>414</v>
      </c>
      <c r="D107" s="6" t="s">
        <v>418</v>
      </c>
      <c r="E107" s="6" t="s">
        <v>41</v>
      </c>
      <c r="J107" s="9">
        <f>IF(H107="","",H107+IF(I107="",0,I107))</f>
        <v/>
      </c>
      <c r="K107" s="9">
        <f>IF(G107&lt;&gt;"",G107,IF(F107&lt;&gt;"",F107,""))</f>
        <v/>
      </c>
      <c r="L107" s="6" t="s">
        <v>42</v>
      </c>
      <c r="M107" s="6" t="s">
        <v>331</v>
      </c>
      <c r="N107" s="6" t="s">
        <v>44</v>
      </c>
      <c r="O107" s="6" t="s">
        <v>44</v>
      </c>
      <c r="P107" s="6" t="s">
        <v>419</v>
      </c>
      <c r="Q107" s="6"/>
    </row>
    <row r="108" spans="1:17">
      <c r="A108" s="3" t="s">
        <v>11</v>
      </c>
      <c r="B108" s="3" t="s">
        <v>420</v>
      </c>
      <c r="C108" s="3" t="s">
        <v>414</v>
      </c>
      <c r="D108" s="3" t="s">
        <v>421</v>
      </c>
      <c r="E108" s="3" t="s">
        <v>41</v>
      </c>
      <c r="J108" s="8">
        <f>IF(H108="","",H108+IF(I108="",0,I108))</f>
        <v/>
      </c>
      <c r="K108" s="8">
        <f>IF(G108&lt;&gt;"",G108,IF(F108&lt;&gt;"",F108,""))</f>
        <v/>
      </c>
      <c r="L108" s="3" t="s">
        <v>42</v>
      </c>
      <c r="M108" s="3" t="s">
        <v>331</v>
      </c>
      <c r="N108" s="3" t="s">
        <v>44</v>
      </c>
      <c r="O108" s="3" t="s">
        <v>44</v>
      </c>
      <c r="P108" s="3" t="s">
        <v>422</v>
      </c>
      <c r="Q108" s="3"/>
    </row>
    <row r="109" spans="1:17">
      <c r="A109" s="6" t="s">
        <v>11</v>
      </c>
      <c r="B109" s="6" t="s">
        <v>423</v>
      </c>
      <c r="C109" s="6" t="s">
        <v>414</v>
      </c>
      <c r="D109" s="6" t="s">
        <v>424</v>
      </c>
      <c r="E109" s="6" t="s">
        <v>41</v>
      </c>
      <c r="J109" s="9">
        <f>IF(H109="","",H109+IF(I109="",0,I109))</f>
        <v/>
      </c>
      <c r="K109" s="9">
        <f>IF(G109&lt;&gt;"",G109,IF(F109&lt;&gt;"",F109,""))</f>
        <v/>
      </c>
      <c r="L109" s="6" t="s">
        <v>42</v>
      </c>
      <c r="M109" s="6" t="s">
        <v>343</v>
      </c>
      <c r="N109" s="6" t="s">
        <v>44</v>
      </c>
      <c r="O109" s="6" t="s">
        <v>44</v>
      </c>
      <c r="P109" s="6" t="s">
        <v>425</v>
      </c>
      <c r="Q109" s="6"/>
    </row>
    <row r="110" spans="1:17">
      <c r="A110" s="3" t="s">
        <v>11</v>
      </c>
      <c r="B110" s="3" t="s">
        <v>426</v>
      </c>
      <c r="C110" s="3" t="s">
        <v>414</v>
      </c>
      <c r="D110" s="3" t="s">
        <v>427</v>
      </c>
      <c r="E110" s="3" t="s">
        <v>41</v>
      </c>
      <c r="J110" s="8">
        <f>IF(H110="","",H110+IF(I110="",0,I110))</f>
        <v/>
      </c>
      <c r="K110" s="8">
        <f>IF(G110&lt;&gt;"",G110,IF(F110&lt;&gt;"",F110,""))</f>
        <v/>
      </c>
      <c r="L110" s="3" t="s">
        <v>42</v>
      </c>
      <c r="M110" s="3" t="s">
        <v>428</v>
      </c>
      <c r="N110" s="3" t="s">
        <v>44</v>
      </c>
      <c r="O110" s="3" t="s">
        <v>44</v>
      </c>
      <c r="P110" s="3" t="s">
        <v>429</v>
      </c>
      <c r="Q110" s="3"/>
    </row>
    <row r="111" spans="1:17">
      <c r="A111" s="6" t="s">
        <v>11</v>
      </c>
      <c r="B111" s="6" t="s">
        <v>430</v>
      </c>
      <c r="C111" s="6" t="s">
        <v>414</v>
      </c>
      <c r="D111" s="6" t="s">
        <v>431</v>
      </c>
      <c r="E111" s="6" t="s">
        <v>41</v>
      </c>
      <c r="J111" s="9">
        <f>IF(H111="","",H111+IF(I111="",0,I111))</f>
        <v/>
      </c>
      <c r="K111" s="9">
        <f>IF(G111&lt;&gt;"",G111,IF(F111&lt;&gt;"",F111,""))</f>
        <v/>
      </c>
      <c r="L111" s="6" t="s">
        <v>42</v>
      </c>
      <c r="M111" s="6" t="s">
        <v>360</v>
      </c>
      <c r="N111" s="6" t="s">
        <v>44</v>
      </c>
      <c r="O111" s="6" t="s">
        <v>44</v>
      </c>
      <c r="P111" s="6" t="s">
        <v>432</v>
      </c>
      <c r="Q111" s="6"/>
    </row>
    <row r="112" spans="1:17">
      <c r="A112" s="3" t="s">
        <v>11</v>
      </c>
      <c r="B112" s="3" t="s">
        <v>433</v>
      </c>
      <c r="C112" s="3" t="s">
        <v>414</v>
      </c>
      <c r="D112" s="3" t="s">
        <v>434</v>
      </c>
      <c r="E112" s="3" t="s">
        <v>41</v>
      </c>
      <c r="J112" s="8">
        <f>IF(H112="","",H112+IF(I112="",0,I112))</f>
        <v/>
      </c>
      <c r="K112" s="8">
        <f>IF(G112&lt;&gt;"",G112,IF(F112&lt;&gt;"",F112,""))</f>
        <v/>
      </c>
      <c r="L112" s="3" t="s">
        <v>42</v>
      </c>
      <c r="M112" s="3" t="s">
        <v>370</v>
      </c>
      <c r="N112" s="3" t="s">
        <v>44</v>
      </c>
      <c r="O112" s="3" t="s">
        <v>44</v>
      </c>
      <c r="P112" s="3" t="s">
        <v>435</v>
      </c>
      <c r="Q112" s="3"/>
    </row>
    <row r="113" spans="1:17">
      <c r="A113" s="6" t="s">
        <v>12</v>
      </c>
      <c r="B113" s="6" t="s">
        <v>436</v>
      </c>
      <c r="C113" s="6" t="s">
        <v>437</v>
      </c>
      <c r="D113" s="6" t="s">
        <v>438</v>
      </c>
      <c r="E113" s="6" t="s">
        <v>41</v>
      </c>
      <c r="J113" s="9">
        <f>IF(H113="","",H113+IF(I113="",0,I113))</f>
        <v/>
      </c>
      <c r="K113" s="9">
        <f>IF(G113&lt;&gt;"",G113,IF(F113&lt;&gt;"",F113,""))</f>
        <v/>
      </c>
      <c r="L113" s="6" t="s">
        <v>42</v>
      </c>
      <c r="M113" s="6" t="s">
        <v>439</v>
      </c>
      <c r="N113" s="6" t="s">
        <v>44</v>
      </c>
      <c r="O113" s="6" t="s">
        <v>44</v>
      </c>
      <c r="P113" s="6" t="s">
        <v>440</v>
      </c>
      <c r="Q113" s="6"/>
    </row>
    <row r="114" spans="1:17">
      <c r="A114" s="3" t="s">
        <v>12</v>
      </c>
      <c r="B114" s="3" t="s">
        <v>441</v>
      </c>
      <c r="C114" s="3" t="s">
        <v>442</v>
      </c>
      <c r="D114" s="3" t="s">
        <v>443</v>
      </c>
      <c r="E114" s="3" t="s">
        <v>41</v>
      </c>
      <c r="J114" s="8">
        <f>IF(H114="","",H114+IF(I114="",0,I114))</f>
        <v/>
      </c>
      <c r="K114" s="8">
        <f>IF(G114&lt;&gt;"",G114,IF(F114&lt;&gt;"",F114,""))</f>
        <v/>
      </c>
      <c r="L114" s="3" t="s">
        <v>42</v>
      </c>
      <c r="M114" s="3" t="s">
        <v>444</v>
      </c>
      <c r="N114" s="3" t="s">
        <v>44</v>
      </c>
      <c r="O114" s="3" t="s">
        <v>44</v>
      </c>
      <c r="P114" s="3" t="s">
        <v>445</v>
      </c>
      <c r="Q114" s="3"/>
    </row>
    <row r="115" spans="1:17">
      <c r="A115" s="6" t="s">
        <v>12</v>
      </c>
      <c r="B115" s="6" t="s">
        <v>446</v>
      </c>
      <c r="C115" s="6" t="s">
        <v>442</v>
      </c>
      <c r="D115" s="6" t="s">
        <v>447</v>
      </c>
      <c r="E115" s="6" t="s">
        <v>41</v>
      </c>
      <c r="J115" s="9">
        <f>IF(H115="","",H115+IF(I115="",0,I115))</f>
        <v/>
      </c>
      <c r="K115" s="9">
        <f>IF(G115&lt;&gt;"",G115,IF(F115&lt;&gt;"",F115,""))</f>
        <v/>
      </c>
      <c r="L115" s="6" t="s">
        <v>42</v>
      </c>
      <c r="M115" s="6" t="s">
        <v>448</v>
      </c>
      <c r="N115" s="6" t="s">
        <v>44</v>
      </c>
      <c r="O115" s="6" t="s">
        <v>44</v>
      </c>
      <c r="P115" s="6" t="s">
        <v>449</v>
      </c>
      <c r="Q115" s="6"/>
    </row>
    <row r="116" spans="1:17">
      <c r="A116" s="3" t="s">
        <v>12</v>
      </c>
      <c r="B116" s="3" t="s">
        <v>450</v>
      </c>
      <c r="C116" s="3" t="s">
        <v>442</v>
      </c>
      <c r="D116" s="3" t="s">
        <v>451</v>
      </c>
      <c r="E116" s="3" t="s">
        <v>41</v>
      </c>
      <c r="J116" s="8">
        <f>IF(H116="","",H116+IF(I116="",0,I116))</f>
        <v/>
      </c>
      <c r="K116" s="8">
        <f>IF(G116&lt;&gt;"",G116,IF(F116&lt;&gt;"",F116,""))</f>
        <v/>
      </c>
      <c r="L116" s="3" t="s">
        <v>42</v>
      </c>
      <c r="M116" s="3" t="s">
        <v>452</v>
      </c>
      <c r="N116" s="3" t="s">
        <v>44</v>
      </c>
      <c r="O116" s="3" t="s">
        <v>44</v>
      </c>
      <c r="P116" s="3" t="s">
        <v>453</v>
      </c>
      <c r="Q116" s="3"/>
    </row>
    <row r="117" spans="1:17">
      <c r="A117" s="6" t="s">
        <v>12</v>
      </c>
      <c r="B117" s="6" t="s">
        <v>454</v>
      </c>
      <c r="C117" s="6" t="s">
        <v>442</v>
      </c>
      <c r="D117" s="6" t="s">
        <v>455</v>
      </c>
      <c r="E117" s="6" t="s">
        <v>41</v>
      </c>
      <c r="J117" s="9">
        <f>IF(H117="","",H117+IF(I117="",0,I117))</f>
        <v/>
      </c>
      <c r="K117" s="9">
        <f>IF(G117&lt;&gt;"",G117,IF(F117&lt;&gt;"",F117,""))</f>
        <v/>
      </c>
      <c r="L117" s="6" t="s">
        <v>42</v>
      </c>
      <c r="M117" s="6" t="s">
        <v>456</v>
      </c>
      <c r="N117" s="6" t="s">
        <v>44</v>
      </c>
      <c r="O117" s="6" t="s">
        <v>44</v>
      </c>
      <c r="P117" s="6" t="s">
        <v>457</v>
      </c>
      <c r="Q117" s="6"/>
    </row>
    <row r="118" spans="1:17">
      <c r="A118" s="3" t="s">
        <v>12</v>
      </c>
      <c r="B118" s="3" t="s">
        <v>458</v>
      </c>
      <c r="C118" s="3" t="s">
        <v>442</v>
      </c>
      <c r="D118" s="3" t="s">
        <v>459</v>
      </c>
      <c r="E118" s="3" t="s">
        <v>41</v>
      </c>
      <c r="J118" s="8">
        <f>IF(H118="","",H118+IF(I118="",0,I118))</f>
        <v/>
      </c>
      <c r="K118" s="8">
        <f>IF(G118&lt;&gt;"",G118,IF(F118&lt;&gt;"",F118,""))</f>
        <v/>
      </c>
      <c r="L118" s="3" t="s">
        <v>42</v>
      </c>
      <c r="M118" s="3" t="s">
        <v>439</v>
      </c>
      <c r="N118" s="3" t="s">
        <v>44</v>
      </c>
      <c r="O118" s="3" t="s">
        <v>44</v>
      </c>
      <c r="P118" s="3" t="s">
        <v>460</v>
      </c>
      <c r="Q118" s="3"/>
    </row>
    <row r="119" spans="1:17">
      <c r="A119" s="6" t="s">
        <v>12</v>
      </c>
      <c r="B119" s="6" t="s">
        <v>461</v>
      </c>
      <c r="C119" s="6" t="s">
        <v>462</v>
      </c>
      <c r="D119" s="6" t="s">
        <v>463</v>
      </c>
      <c r="E119" s="6" t="s">
        <v>41</v>
      </c>
      <c r="J119" s="9">
        <f>IF(H119="","",H119+IF(I119="",0,I119))</f>
        <v/>
      </c>
      <c r="K119" s="9">
        <f>IF(G119&lt;&gt;"",G119,IF(F119&lt;&gt;"",F119,""))</f>
        <v/>
      </c>
      <c r="L119" s="6" t="s">
        <v>42</v>
      </c>
      <c r="M119" s="6" t="s">
        <v>464</v>
      </c>
      <c r="N119" s="6" t="s">
        <v>44</v>
      </c>
      <c r="O119" s="6" t="s">
        <v>44</v>
      </c>
      <c r="P119" s="6" t="s">
        <v>465</v>
      </c>
      <c r="Q119" s="6"/>
    </row>
    <row r="120" spans="1:17">
      <c r="A120" s="3" t="s">
        <v>12</v>
      </c>
      <c r="B120" s="3" t="s">
        <v>466</v>
      </c>
      <c r="C120" s="3" t="s">
        <v>462</v>
      </c>
      <c r="D120" s="3" t="s">
        <v>467</v>
      </c>
      <c r="E120" s="3" t="s">
        <v>41</v>
      </c>
      <c r="J120" s="8">
        <f>IF(H120="","",H120+IF(I120="",0,I120))</f>
        <v/>
      </c>
      <c r="K120" s="8">
        <f>IF(G120&lt;&gt;"",G120,IF(F120&lt;&gt;"",F120,""))</f>
        <v/>
      </c>
      <c r="L120" s="3" t="s">
        <v>42</v>
      </c>
      <c r="M120" s="3" t="s">
        <v>468</v>
      </c>
      <c r="N120" s="3" t="s">
        <v>44</v>
      </c>
      <c r="O120" s="3" t="s">
        <v>44</v>
      </c>
      <c r="P120" s="3" t="s">
        <v>469</v>
      </c>
      <c r="Q120" s="3"/>
    </row>
    <row r="121" spans="1:17">
      <c r="A121" s="6" t="s">
        <v>12</v>
      </c>
      <c r="B121" s="6" t="s">
        <v>470</v>
      </c>
      <c r="C121" s="6" t="s">
        <v>462</v>
      </c>
      <c r="D121" s="6" t="s">
        <v>471</v>
      </c>
      <c r="E121" s="6" t="s">
        <v>41</v>
      </c>
      <c r="J121" s="9">
        <f>IF(H121="","",H121+IF(I121="",0,I121))</f>
        <v/>
      </c>
      <c r="K121" s="9">
        <f>IF(G121&lt;&gt;"",G121,IF(F121&lt;&gt;"",F121,""))</f>
        <v/>
      </c>
      <c r="L121" s="6" t="s">
        <v>42</v>
      </c>
      <c r="M121" s="6" t="s">
        <v>472</v>
      </c>
      <c r="N121" s="6" t="s">
        <v>44</v>
      </c>
      <c r="O121" s="6" t="s">
        <v>44</v>
      </c>
      <c r="P121" s="6" t="s">
        <v>473</v>
      </c>
      <c r="Q121" s="6"/>
    </row>
    <row r="122" spans="1:17">
      <c r="A122" s="3" t="s">
        <v>12</v>
      </c>
      <c r="B122" s="3" t="s">
        <v>474</v>
      </c>
      <c r="C122" s="3" t="s">
        <v>462</v>
      </c>
      <c r="D122" s="3" t="s">
        <v>475</v>
      </c>
      <c r="E122" s="3" t="s">
        <v>41</v>
      </c>
      <c r="J122" s="8">
        <f>IF(H122="","",H122+IF(I122="",0,I122))</f>
        <v/>
      </c>
      <c r="K122" s="8">
        <f>IF(G122&lt;&gt;"",G122,IF(F122&lt;&gt;"",F122,""))</f>
        <v/>
      </c>
      <c r="L122" s="3" t="s">
        <v>42</v>
      </c>
      <c r="M122" s="3" t="s">
        <v>476</v>
      </c>
      <c r="N122" s="3" t="s">
        <v>44</v>
      </c>
      <c r="O122" s="3" t="s">
        <v>44</v>
      </c>
      <c r="P122" s="3" t="s">
        <v>477</v>
      </c>
      <c r="Q122" s="3"/>
    </row>
    <row r="123" spans="1:17">
      <c r="A123" s="6" t="s">
        <v>12</v>
      </c>
      <c r="B123" s="6" t="s">
        <v>478</v>
      </c>
      <c r="C123" s="6" t="s">
        <v>479</v>
      </c>
      <c r="D123" s="6" t="s">
        <v>480</v>
      </c>
      <c r="E123" s="6" t="s">
        <v>41</v>
      </c>
      <c r="J123" s="9">
        <f>IF(H123="","",H123+IF(I123="",0,I123))</f>
        <v/>
      </c>
      <c r="K123" s="9">
        <f>IF(G123&lt;&gt;"",G123,IF(F123&lt;&gt;"",F123,""))</f>
        <v/>
      </c>
      <c r="L123" s="6" t="s">
        <v>42</v>
      </c>
      <c r="M123" s="6" t="s">
        <v>481</v>
      </c>
      <c r="N123" s="6" t="s">
        <v>44</v>
      </c>
      <c r="O123" s="6" t="s">
        <v>44</v>
      </c>
      <c r="P123" s="6" t="s">
        <v>482</v>
      </c>
      <c r="Q123" s="6"/>
    </row>
    <row r="124" spans="1:17">
      <c r="A124" s="3" t="s">
        <v>12</v>
      </c>
      <c r="B124" s="3" t="s">
        <v>483</v>
      </c>
      <c r="C124" s="3" t="s">
        <v>479</v>
      </c>
      <c r="D124" s="3" t="s">
        <v>484</v>
      </c>
      <c r="E124" s="3" t="s">
        <v>41</v>
      </c>
      <c r="J124" s="8">
        <f>IF(H124="","",H124+IF(I124="",0,I124))</f>
        <v/>
      </c>
      <c r="K124" s="8">
        <f>IF(G124&lt;&gt;"",G124,IF(F124&lt;&gt;"",F124,""))</f>
        <v/>
      </c>
      <c r="L124" s="3" t="s">
        <v>42</v>
      </c>
      <c r="M124" s="3" t="s">
        <v>485</v>
      </c>
      <c r="N124" s="3" t="s">
        <v>44</v>
      </c>
      <c r="O124" s="3" t="s">
        <v>44</v>
      </c>
      <c r="P124" s="3" t="s">
        <v>486</v>
      </c>
      <c r="Q124" s="3"/>
    </row>
    <row r="125" spans="1:17">
      <c r="A125" s="6" t="s">
        <v>12</v>
      </c>
      <c r="B125" s="6" t="s">
        <v>487</v>
      </c>
      <c r="C125" s="6" t="s">
        <v>479</v>
      </c>
      <c r="D125" s="6" t="s">
        <v>488</v>
      </c>
      <c r="E125" s="6" t="s">
        <v>41</v>
      </c>
      <c r="J125" s="9">
        <f>IF(H125="","",H125+IF(I125="",0,I125))</f>
        <v/>
      </c>
      <c r="K125" s="9">
        <f>IF(G125&lt;&gt;"",G125,IF(F125&lt;&gt;"",F125,""))</f>
        <v/>
      </c>
      <c r="L125" s="6" t="s">
        <v>42</v>
      </c>
      <c r="M125" s="6" t="s">
        <v>489</v>
      </c>
      <c r="N125" s="6" t="s">
        <v>44</v>
      </c>
      <c r="O125" s="6" t="s">
        <v>44</v>
      </c>
      <c r="P125" s="6" t="s">
        <v>490</v>
      </c>
      <c r="Q125" s="6"/>
    </row>
    <row r="126" spans="1:17">
      <c r="A126" s="3" t="s">
        <v>13</v>
      </c>
      <c r="B126" s="3" t="s">
        <v>491</v>
      </c>
      <c r="C126" s="3" t="s">
        <v>442</v>
      </c>
      <c r="D126" s="3" t="s">
        <v>492</v>
      </c>
      <c r="E126" s="3" t="s">
        <v>41</v>
      </c>
      <c r="J126" s="8">
        <f>IF(H126="","",H126+IF(I126="",0,I126))</f>
        <v/>
      </c>
      <c r="K126" s="8">
        <f>IF(G126&lt;&gt;"",G126,IF(F126&lt;&gt;"",F126,""))</f>
        <v/>
      </c>
      <c r="L126" s="3" t="s">
        <v>42</v>
      </c>
      <c r="M126" s="3" t="s">
        <v>493</v>
      </c>
      <c r="N126" s="3" t="s">
        <v>44</v>
      </c>
      <c r="O126" s="3" t="s">
        <v>44</v>
      </c>
      <c r="P126" s="3" t="s">
        <v>494</v>
      </c>
      <c r="Q126" s="3"/>
    </row>
    <row r="127" spans="1:17">
      <c r="A127" s="6" t="s">
        <v>13</v>
      </c>
      <c r="B127" s="6" t="s">
        <v>495</v>
      </c>
      <c r="C127" s="6" t="s">
        <v>442</v>
      </c>
      <c r="D127" s="6" t="s">
        <v>496</v>
      </c>
      <c r="E127" s="6" t="s">
        <v>41</v>
      </c>
      <c r="J127" s="9">
        <f>IF(H127="","",H127+IF(I127="",0,I127))</f>
        <v/>
      </c>
      <c r="K127" s="9">
        <f>IF(G127&lt;&gt;"",G127,IF(F127&lt;&gt;"",F127,""))</f>
        <v/>
      </c>
      <c r="L127" s="6" t="s">
        <v>42</v>
      </c>
      <c r="M127" s="6" t="s">
        <v>497</v>
      </c>
      <c r="N127" s="6" t="s">
        <v>44</v>
      </c>
      <c r="O127" s="6" t="s">
        <v>44</v>
      </c>
      <c r="P127" s="6" t="s">
        <v>498</v>
      </c>
      <c r="Q127" s="6"/>
    </row>
    <row r="128" spans="1:17">
      <c r="A128" s="3" t="s">
        <v>13</v>
      </c>
      <c r="B128" s="3" t="s">
        <v>499</v>
      </c>
      <c r="C128" s="3" t="s">
        <v>442</v>
      </c>
      <c r="D128" s="3" t="s">
        <v>500</v>
      </c>
      <c r="E128" s="3" t="s">
        <v>41</v>
      </c>
      <c r="J128" s="8">
        <f>IF(H128="","",H128+IF(I128="",0,I128))</f>
        <v/>
      </c>
      <c r="K128" s="8">
        <f>IF(G128&lt;&gt;"",G128,IF(F128&lt;&gt;"",F128,""))</f>
        <v/>
      </c>
      <c r="L128" s="3" t="s">
        <v>42</v>
      </c>
      <c r="M128" s="3" t="s">
        <v>501</v>
      </c>
      <c r="N128" s="3" t="s">
        <v>44</v>
      </c>
      <c r="O128" s="3" t="s">
        <v>44</v>
      </c>
      <c r="P128" s="3" t="s">
        <v>502</v>
      </c>
      <c r="Q128" s="3"/>
    </row>
    <row r="129" spans="1:17">
      <c r="A129" s="6" t="s">
        <v>13</v>
      </c>
      <c r="B129" s="6" t="s">
        <v>503</v>
      </c>
      <c r="C129" s="6" t="s">
        <v>504</v>
      </c>
      <c r="D129" s="6" t="s">
        <v>505</v>
      </c>
      <c r="E129" s="6" t="s">
        <v>41</v>
      </c>
      <c r="J129" s="9">
        <f>IF(H129="","",H129+IF(I129="",0,I129))</f>
        <v/>
      </c>
      <c r="K129" s="9">
        <f>IF(G129&lt;&gt;"",G129,IF(F129&lt;&gt;"",F129,""))</f>
        <v/>
      </c>
      <c r="L129" s="6" t="s">
        <v>42</v>
      </c>
      <c r="M129" s="6" t="s">
        <v>506</v>
      </c>
      <c r="N129" s="6" t="s">
        <v>44</v>
      </c>
      <c r="O129" s="6" t="s">
        <v>44</v>
      </c>
      <c r="P129" s="6" t="s">
        <v>507</v>
      </c>
      <c r="Q129" s="6"/>
    </row>
    <row r="130" spans="1:17">
      <c r="A130" s="3" t="s">
        <v>13</v>
      </c>
      <c r="B130" s="3" t="s">
        <v>508</v>
      </c>
      <c r="C130" s="3" t="s">
        <v>504</v>
      </c>
      <c r="D130" s="3" t="s">
        <v>509</v>
      </c>
      <c r="E130" s="3" t="s">
        <v>41</v>
      </c>
      <c r="J130" s="8">
        <f>IF(H130="","",H130+IF(I130="",0,I130))</f>
        <v/>
      </c>
      <c r="K130" s="8">
        <f>IF(G130&lt;&gt;"",G130,IF(F130&lt;&gt;"",F130,""))</f>
        <v/>
      </c>
      <c r="L130" s="3" t="s">
        <v>42</v>
      </c>
      <c r="M130" s="3" t="s">
        <v>510</v>
      </c>
      <c r="N130" s="3" t="s">
        <v>44</v>
      </c>
      <c r="O130" s="3" t="s">
        <v>44</v>
      </c>
      <c r="P130" s="3" t="s">
        <v>511</v>
      </c>
      <c r="Q130" s="3"/>
    </row>
    <row r="131" spans="1:17">
      <c r="A131" s="6" t="s">
        <v>13</v>
      </c>
      <c r="B131" s="6" t="s">
        <v>512</v>
      </c>
      <c r="C131" s="6" t="s">
        <v>504</v>
      </c>
      <c r="D131" s="6" t="s">
        <v>513</v>
      </c>
      <c r="E131" s="6" t="s">
        <v>41</v>
      </c>
      <c r="J131" s="9">
        <f>IF(H131="","",H131+IF(I131="",0,I131))</f>
        <v/>
      </c>
      <c r="K131" s="9">
        <f>IF(G131&lt;&gt;"",G131,IF(F131&lt;&gt;"",F131,""))</f>
        <v/>
      </c>
      <c r="L131" s="6" t="s">
        <v>42</v>
      </c>
      <c r="M131" s="6" t="s">
        <v>514</v>
      </c>
      <c r="N131" s="6" t="s">
        <v>44</v>
      </c>
      <c r="O131" s="6" t="s">
        <v>44</v>
      </c>
      <c r="P131" s="6" t="s">
        <v>515</v>
      </c>
      <c r="Q131" s="6"/>
    </row>
    <row r="132" spans="1:17">
      <c r="A132" s="3" t="s">
        <v>13</v>
      </c>
      <c r="B132" s="3" t="s">
        <v>516</v>
      </c>
      <c r="C132" s="3" t="s">
        <v>462</v>
      </c>
      <c r="D132" s="3" t="s">
        <v>517</v>
      </c>
      <c r="E132" s="3" t="s">
        <v>41</v>
      </c>
      <c r="J132" s="8">
        <f>IF(H132="","",H132+IF(I132="",0,I132))</f>
        <v/>
      </c>
      <c r="K132" s="8">
        <f>IF(G132&lt;&gt;"",G132,IF(F132&lt;&gt;"",F132,""))</f>
        <v/>
      </c>
      <c r="L132" s="3" t="s">
        <v>42</v>
      </c>
      <c r="M132" s="3" t="s">
        <v>518</v>
      </c>
      <c r="N132" s="3" t="s">
        <v>44</v>
      </c>
      <c r="O132" s="3" t="s">
        <v>44</v>
      </c>
      <c r="P132" s="3" t="s">
        <v>519</v>
      </c>
      <c r="Q132" s="3"/>
    </row>
    <row r="133" spans="1:17">
      <c r="A133" s="6" t="s">
        <v>13</v>
      </c>
      <c r="B133" s="6" t="s">
        <v>520</v>
      </c>
      <c r="C133" s="6" t="s">
        <v>462</v>
      </c>
      <c r="D133" s="6" t="s">
        <v>521</v>
      </c>
      <c r="E133" s="6" t="s">
        <v>41</v>
      </c>
      <c r="J133" s="9">
        <f>IF(H133="","",H133+IF(I133="",0,I133))</f>
        <v/>
      </c>
      <c r="K133" s="9">
        <f>IF(G133&lt;&gt;"",G133,IF(F133&lt;&gt;"",F133,""))</f>
        <v/>
      </c>
      <c r="L133" s="6" t="s">
        <v>42</v>
      </c>
      <c r="M133" s="6" t="s">
        <v>522</v>
      </c>
      <c r="N133" s="6" t="s">
        <v>44</v>
      </c>
      <c r="O133" s="6" t="s">
        <v>44</v>
      </c>
      <c r="P133" s="6" t="s">
        <v>523</v>
      </c>
      <c r="Q133" s="6"/>
    </row>
    <row r="134" spans="1:17">
      <c r="A134" s="3" t="s">
        <v>13</v>
      </c>
      <c r="B134" s="3" t="s">
        <v>524</v>
      </c>
      <c r="C134" s="3" t="s">
        <v>462</v>
      </c>
      <c r="D134" s="3" t="s">
        <v>525</v>
      </c>
      <c r="E134" s="3" t="s">
        <v>41</v>
      </c>
      <c r="J134" s="8">
        <f>IF(H134="","",H134+IF(I134="",0,I134))</f>
        <v/>
      </c>
      <c r="K134" s="8">
        <f>IF(G134&lt;&gt;"",G134,IF(F134&lt;&gt;"",F134,""))</f>
        <v/>
      </c>
      <c r="L134" s="3" t="s">
        <v>42</v>
      </c>
      <c r="M134" s="3" t="s">
        <v>526</v>
      </c>
      <c r="N134" s="3" t="s">
        <v>44</v>
      </c>
      <c r="O134" s="3" t="s">
        <v>44</v>
      </c>
      <c r="P134" s="3" t="s">
        <v>527</v>
      </c>
      <c r="Q134" s="3"/>
    </row>
    <row r="135" spans="1:17">
      <c r="A135" s="6" t="s">
        <v>13</v>
      </c>
      <c r="B135" s="6" t="s">
        <v>528</v>
      </c>
      <c r="C135" s="6" t="s">
        <v>462</v>
      </c>
      <c r="D135" s="6" t="s">
        <v>529</v>
      </c>
      <c r="E135" s="6" t="s">
        <v>41</v>
      </c>
      <c r="J135" s="9">
        <f>IF(H135="","",H135+IF(I135="",0,I135))</f>
        <v/>
      </c>
      <c r="K135" s="9">
        <f>IF(G135&lt;&gt;"",G135,IF(F135&lt;&gt;"",F135,""))</f>
        <v/>
      </c>
      <c r="L135" s="6" t="s">
        <v>42</v>
      </c>
      <c r="M135" s="6" t="s">
        <v>530</v>
      </c>
      <c r="N135" s="6" t="s">
        <v>44</v>
      </c>
      <c r="O135" s="6" t="s">
        <v>44</v>
      </c>
      <c r="P135" s="6" t="s">
        <v>531</v>
      </c>
      <c r="Q135" s="6"/>
    </row>
    <row r="136" spans="1:17">
      <c r="A136" s="3" t="s">
        <v>13</v>
      </c>
      <c r="B136" s="3" t="s">
        <v>532</v>
      </c>
      <c r="C136" s="3" t="s">
        <v>462</v>
      </c>
      <c r="D136" s="3" t="s">
        <v>533</v>
      </c>
      <c r="E136" s="3" t="s">
        <v>41</v>
      </c>
      <c r="J136" s="8">
        <f>IF(H136="","",H136+IF(I136="",0,I136))</f>
        <v/>
      </c>
      <c r="K136" s="8">
        <f>IF(G136&lt;&gt;"",G136,IF(F136&lt;&gt;"",F136,""))</f>
        <v/>
      </c>
      <c r="L136" s="3" t="s">
        <v>42</v>
      </c>
      <c r="M136" s="3" t="s">
        <v>534</v>
      </c>
      <c r="N136" s="3" t="s">
        <v>44</v>
      </c>
      <c r="O136" s="3" t="s">
        <v>44</v>
      </c>
      <c r="P136" s="3" t="s">
        <v>535</v>
      </c>
      <c r="Q136" s="3"/>
    </row>
    <row r="137" spans="1:17">
      <c r="A137" s="6" t="s">
        <v>14</v>
      </c>
      <c r="B137" s="6" t="s">
        <v>536</v>
      </c>
      <c r="C137" s="6" t="s">
        <v>537</v>
      </c>
      <c r="D137" s="6" t="s">
        <v>538</v>
      </c>
      <c r="E137" s="6" t="s">
        <v>67</v>
      </c>
      <c r="J137" s="9">
        <f>IF(H137="","",H137+IF(I137="",0,I137))</f>
        <v/>
      </c>
      <c r="K137" s="9">
        <f>IF(G137&lt;&gt;"",G137,IF(F137&lt;&gt;"",F137,""))</f>
        <v/>
      </c>
      <c r="L137" s="6" t="s">
        <v>67</v>
      </c>
      <c r="M137" s="6" t="s">
        <v>539</v>
      </c>
      <c r="N137" s="6" t="s">
        <v>44</v>
      </c>
      <c r="O137" s="6" t="s">
        <v>44</v>
      </c>
      <c r="P137" s="6" t="s">
        <v>540</v>
      </c>
      <c r="Q137" s="6"/>
    </row>
    <row r="138" spans="1:17">
      <c r="A138" s="3" t="s">
        <v>14</v>
      </c>
      <c r="B138" s="3" t="s">
        <v>541</v>
      </c>
      <c r="C138" s="3" t="s">
        <v>437</v>
      </c>
      <c r="D138" s="3" t="s">
        <v>542</v>
      </c>
      <c r="E138" s="3" t="s">
        <v>41</v>
      </c>
      <c r="J138" s="8">
        <f>IF(H138="","",H138+IF(I138="",0,I138))</f>
        <v/>
      </c>
      <c r="K138" s="8">
        <f>IF(G138&lt;&gt;"",G138,IF(F138&lt;&gt;"",F138,""))</f>
        <v/>
      </c>
      <c r="L138" s="3" t="s">
        <v>42</v>
      </c>
      <c r="M138" s="3" t="s">
        <v>543</v>
      </c>
      <c r="N138" s="3" t="s">
        <v>44</v>
      </c>
      <c r="O138" s="3" t="s">
        <v>44</v>
      </c>
      <c r="P138" s="3" t="s">
        <v>544</v>
      </c>
      <c r="Q138" s="3"/>
    </row>
    <row r="139" spans="1:17">
      <c r="A139" s="6" t="s">
        <v>14</v>
      </c>
      <c r="B139" s="6" t="s">
        <v>545</v>
      </c>
      <c r="C139" s="6" t="s">
        <v>437</v>
      </c>
      <c r="D139" s="6" t="s">
        <v>546</v>
      </c>
      <c r="E139" s="6" t="s">
        <v>41</v>
      </c>
      <c r="J139" s="9">
        <f>IF(H139="","",H139+IF(I139="",0,I139))</f>
        <v/>
      </c>
      <c r="K139" s="9">
        <f>IF(G139&lt;&gt;"",G139,IF(F139&lt;&gt;"",F139,""))</f>
        <v/>
      </c>
      <c r="L139" s="6" t="s">
        <v>42</v>
      </c>
      <c r="M139" s="6" t="s">
        <v>547</v>
      </c>
      <c r="N139" s="6" t="s">
        <v>44</v>
      </c>
      <c r="O139" s="6" t="s">
        <v>44</v>
      </c>
      <c r="P139" s="6" t="s">
        <v>548</v>
      </c>
      <c r="Q139" s="6"/>
    </row>
    <row r="140" spans="1:17">
      <c r="A140" s="3" t="s">
        <v>14</v>
      </c>
      <c r="B140" s="3" t="s">
        <v>549</v>
      </c>
      <c r="C140" s="3" t="s">
        <v>437</v>
      </c>
      <c r="D140" s="3" t="s">
        <v>550</v>
      </c>
      <c r="E140" s="3" t="s">
        <v>41</v>
      </c>
      <c r="J140" s="8">
        <f>IF(H140="","",H140+IF(I140="",0,I140))</f>
        <v/>
      </c>
      <c r="K140" s="8">
        <f>IF(G140&lt;&gt;"",G140,IF(F140&lt;&gt;"",F140,""))</f>
        <v/>
      </c>
      <c r="L140" s="3" t="s">
        <v>42</v>
      </c>
      <c r="M140" s="3" t="s">
        <v>551</v>
      </c>
      <c r="N140" s="3" t="s">
        <v>44</v>
      </c>
      <c r="O140" s="3" t="s">
        <v>44</v>
      </c>
      <c r="P140" s="3" t="s">
        <v>552</v>
      </c>
      <c r="Q140" s="3"/>
    </row>
    <row r="141" spans="1:17">
      <c r="A141" s="6" t="s">
        <v>14</v>
      </c>
      <c r="B141" s="6" t="s">
        <v>553</v>
      </c>
      <c r="C141" s="6" t="s">
        <v>437</v>
      </c>
      <c r="D141" s="6" t="s">
        <v>554</v>
      </c>
      <c r="E141" s="6" t="s">
        <v>41</v>
      </c>
      <c r="J141" s="9">
        <f>IF(H141="","",H141+IF(I141="",0,I141))</f>
        <v/>
      </c>
      <c r="K141" s="9">
        <f>IF(G141&lt;&gt;"",G141,IF(F141&lt;&gt;"",F141,""))</f>
        <v/>
      </c>
      <c r="L141" s="6" t="s">
        <v>42</v>
      </c>
      <c r="M141" s="6" t="s">
        <v>555</v>
      </c>
      <c r="N141" s="6" t="s">
        <v>44</v>
      </c>
      <c r="O141" s="6" t="s">
        <v>44</v>
      </c>
      <c r="P141" s="6" t="s">
        <v>556</v>
      </c>
      <c r="Q141" s="6"/>
    </row>
    <row r="142" spans="1:17">
      <c r="A142" s="3" t="s">
        <v>14</v>
      </c>
      <c r="B142" s="3" t="s">
        <v>557</v>
      </c>
      <c r="C142" s="3" t="s">
        <v>437</v>
      </c>
      <c r="D142" s="3" t="s">
        <v>558</v>
      </c>
      <c r="E142" s="3" t="s">
        <v>41</v>
      </c>
      <c r="J142" s="8">
        <f>IF(H142="","",H142+IF(I142="",0,I142))</f>
        <v/>
      </c>
      <c r="K142" s="8">
        <f>IF(G142&lt;&gt;"",G142,IF(F142&lt;&gt;"",F142,""))</f>
        <v/>
      </c>
      <c r="L142" s="3" t="s">
        <v>42</v>
      </c>
      <c r="M142" s="3" t="s">
        <v>559</v>
      </c>
      <c r="N142" s="3" t="s">
        <v>44</v>
      </c>
      <c r="O142" s="3" t="s">
        <v>44</v>
      </c>
      <c r="P142" s="3" t="s">
        <v>560</v>
      </c>
      <c r="Q142" s="3"/>
    </row>
    <row r="143" spans="1:17">
      <c r="A143" s="6" t="s">
        <v>14</v>
      </c>
      <c r="B143" s="6" t="s">
        <v>561</v>
      </c>
      <c r="C143" s="6" t="s">
        <v>562</v>
      </c>
      <c r="D143" s="6" t="s">
        <v>563</v>
      </c>
      <c r="E143" s="6" t="s">
        <v>41</v>
      </c>
      <c r="J143" s="9">
        <f>IF(H143="","",H143+IF(I143="",0,I143))</f>
        <v/>
      </c>
      <c r="K143" s="9">
        <f>IF(G143&lt;&gt;"",G143,IF(F143&lt;&gt;"",F143,""))</f>
        <v/>
      </c>
      <c r="L143" s="6" t="s">
        <v>42</v>
      </c>
      <c r="M143" s="6" t="s">
        <v>551</v>
      </c>
      <c r="N143" s="6" t="s">
        <v>44</v>
      </c>
      <c r="O143" s="6" t="s">
        <v>44</v>
      </c>
      <c r="P143" s="6" t="s">
        <v>564</v>
      </c>
      <c r="Q143" s="6"/>
    </row>
    <row r="144" spans="1:17">
      <c r="A144" s="3" t="s">
        <v>14</v>
      </c>
      <c r="B144" s="3" t="s">
        <v>565</v>
      </c>
      <c r="C144" s="3" t="s">
        <v>562</v>
      </c>
      <c r="D144" s="3" t="s">
        <v>566</v>
      </c>
      <c r="E144" s="3" t="s">
        <v>41</v>
      </c>
      <c r="J144" s="8">
        <f>IF(H144="","",H144+IF(I144="",0,I144))</f>
        <v/>
      </c>
      <c r="K144" s="8">
        <f>IF(G144&lt;&gt;"",G144,IF(F144&lt;&gt;"",F144,""))</f>
        <v/>
      </c>
      <c r="L144" s="3" t="s">
        <v>42</v>
      </c>
      <c r="M144" s="3" t="s">
        <v>555</v>
      </c>
      <c r="N144" s="3" t="s">
        <v>44</v>
      </c>
      <c r="O144" s="3" t="s">
        <v>44</v>
      </c>
      <c r="P144" s="3" t="s">
        <v>567</v>
      </c>
      <c r="Q144" s="3"/>
    </row>
    <row r="145" spans="1:17">
      <c r="A145" s="6" t="s">
        <v>14</v>
      </c>
      <c r="B145" s="6" t="s">
        <v>568</v>
      </c>
      <c r="C145" s="6" t="s">
        <v>562</v>
      </c>
      <c r="D145" s="6" t="s">
        <v>569</v>
      </c>
      <c r="E145" s="6" t="s">
        <v>41</v>
      </c>
      <c r="J145" s="9">
        <f>IF(H145="","",H145+IF(I145="",0,I145))</f>
        <v/>
      </c>
      <c r="K145" s="9">
        <f>IF(G145&lt;&gt;"",G145,IF(F145&lt;&gt;"",F145,""))</f>
        <v/>
      </c>
      <c r="L145" s="6" t="s">
        <v>42</v>
      </c>
      <c r="M145" s="6" t="s">
        <v>559</v>
      </c>
      <c r="N145" s="6" t="s">
        <v>44</v>
      </c>
      <c r="O145" s="6" t="s">
        <v>44</v>
      </c>
      <c r="P145" s="6" t="s">
        <v>570</v>
      </c>
      <c r="Q145" s="6"/>
    </row>
    <row r="146" spans="1:17">
      <c r="A146" s="3" t="s">
        <v>14</v>
      </c>
      <c r="B146" s="3" t="s">
        <v>571</v>
      </c>
      <c r="C146" s="3" t="s">
        <v>562</v>
      </c>
      <c r="D146" s="3" t="s">
        <v>572</v>
      </c>
      <c r="E146" s="3" t="s">
        <v>41</v>
      </c>
      <c r="J146" s="8">
        <f>IF(H146="","",H146+IF(I146="",0,I146))</f>
        <v/>
      </c>
      <c r="K146" s="8">
        <f>IF(G146&lt;&gt;"",G146,IF(F146&lt;&gt;"",F146,""))</f>
        <v/>
      </c>
      <c r="L146" s="3" t="s">
        <v>42</v>
      </c>
      <c r="M146" s="3" t="s">
        <v>573</v>
      </c>
      <c r="N146" s="3" t="s">
        <v>44</v>
      </c>
      <c r="O146" s="3" t="s">
        <v>44</v>
      </c>
      <c r="P146" s="3" t="s">
        <v>574</v>
      </c>
      <c r="Q146" s="3"/>
    </row>
    <row r="147" spans="1:17">
      <c r="A147" s="6" t="s">
        <v>14</v>
      </c>
      <c r="B147" s="6" t="s">
        <v>575</v>
      </c>
      <c r="C147" s="6" t="s">
        <v>576</v>
      </c>
      <c r="D147" s="6" t="s">
        <v>577</v>
      </c>
      <c r="E147" s="6" t="s">
        <v>41</v>
      </c>
      <c r="J147" s="9">
        <f>IF(H147="","",H147+IF(I147="",0,I147))</f>
        <v/>
      </c>
      <c r="K147" s="9">
        <f>IF(G147&lt;&gt;"",G147,IF(F147&lt;&gt;"",F147,""))</f>
        <v/>
      </c>
      <c r="L147" s="6" t="s">
        <v>42</v>
      </c>
      <c r="M147" s="6" t="s">
        <v>578</v>
      </c>
      <c r="N147" s="6" t="s">
        <v>44</v>
      </c>
      <c r="O147" s="6" t="s">
        <v>44</v>
      </c>
      <c r="P147" s="6" t="s">
        <v>579</v>
      </c>
      <c r="Q147" s="6"/>
    </row>
    <row r="148" spans="1:17">
      <c r="A148" s="3" t="s">
        <v>14</v>
      </c>
      <c r="B148" s="3" t="s">
        <v>580</v>
      </c>
      <c r="C148" s="3" t="s">
        <v>576</v>
      </c>
      <c r="D148" s="3" t="s">
        <v>581</v>
      </c>
      <c r="E148" s="3" t="s">
        <v>41</v>
      </c>
      <c r="J148" s="8">
        <f>IF(H148="","",H148+IF(I148="",0,I148))</f>
        <v/>
      </c>
      <c r="K148" s="8">
        <f>IF(G148&lt;&gt;"",G148,IF(F148&lt;&gt;"",F148,""))</f>
        <v/>
      </c>
      <c r="L148" s="3" t="s">
        <v>42</v>
      </c>
      <c r="M148" s="3" t="s">
        <v>582</v>
      </c>
      <c r="N148" s="3" t="s">
        <v>44</v>
      </c>
      <c r="O148" s="3" t="s">
        <v>44</v>
      </c>
      <c r="P148" s="3" t="s">
        <v>583</v>
      </c>
      <c r="Q148" s="3"/>
    </row>
    <row r="149" spans="1:17">
      <c r="A149" s="6" t="s">
        <v>14</v>
      </c>
      <c r="B149" s="6" t="s">
        <v>584</v>
      </c>
      <c r="C149" s="6" t="s">
        <v>576</v>
      </c>
      <c r="D149" s="6" t="s">
        <v>585</v>
      </c>
      <c r="E149" s="6" t="s">
        <v>41</v>
      </c>
      <c r="J149" s="9">
        <f>IF(H149="","",H149+IF(I149="",0,I149))</f>
        <v/>
      </c>
      <c r="K149" s="9">
        <f>IF(G149&lt;&gt;"",G149,IF(F149&lt;&gt;"",F149,""))</f>
        <v/>
      </c>
      <c r="L149" s="6" t="s">
        <v>42</v>
      </c>
      <c r="M149" s="6" t="s">
        <v>586</v>
      </c>
      <c r="N149" s="6" t="s">
        <v>44</v>
      </c>
      <c r="O149" s="6" t="s">
        <v>44</v>
      </c>
      <c r="P149" s="6" t="s">
        <v>587</v>
      </c>
      <c r="Q149" s="6"/>
    </row>
    <row r="150" spans="1:17">
      <c r="A150" s="3" t="s">
        <v>14</v>
      </c>
      <c r="B150" s="3" t="s">
        <v>588</v>
      </c>
      <c r="C150" s="3" t="s">
        <v>576</v>
      </c>
      <c r="D150" s="3" t="s">
        <v>589</v>
      </c>
      <c r="E150" s="3" t="s">
        <v>41</v>
      </c>
      <c r="J150" s="8">
        <f>IF(H150="","",H150+IF(I150="",0,I150))</f>
        <v/>
      </c>
      <c r="K150" s="8">
        <f>IF(G150&lt;&gt;"",G150,IF(F150&lt;&gt;"",F150,""))</f>
        <v/>
      </c>
      <c r="L150" s="3" t="s">
        <v>42</v>
      </c>
      <c r="M150" s="3" t="s">
        <v>590</v>
      </c>
      <c r="N150" s="3" t="s">
        <v>44</v>
      </c>
      <c r="O150" s="3" t="s">
        <v>44</v>
      </c>
      <c r="P150" s="3" t="s">
        <v>591</v>
      </c>
      <c r="Q150" s="3"/>
    </row>
    <row r="151" spans="1:17">
      <c r="A151" s="6" t="s">
        <v>14</v>
      </c>
      <c r="B151" s="6" t="s">
        <v>592</v>
      </c>
      <c r="C151" s="6" t="s">
        <v>576</v>
      </c>
      <c r="D151" s="6" t="s">
        <v>593</v>
      </c>
      <c r="E151" s="6" t="s">
        <v>41</v>
      </c>
      <c r="J151" s="9">
        <f>IF(H151="","",H151+IF(I151="",0,I151))</f>
        <v/>
      </c>
      <c r="K151" s="9">
        <f>IF(G151&lt;&gt;"",G151,IF(F151&lt;&gt;"",F151,""))</f>
        <v/>
      </c>
      <c r="L151" s="6" t="s">
        <v>42</v>
      </c>
      <c r="M151" s="6" t="s">
        <v>594</v>
      </c>
      <c r="N151" s="6" t="s">
        <v>44</v>
      </c>
      <c r="O151" s="6" t="s">
        <v>44</v>
      </c>
      <c r="P151" s="6" t="s">
        <v>595</v>
      </c>
      <c r="Q151" s="6"/>
    </row>
    <row r="152" spans="1:17">
      <c r="A152" s="3" t="s">
        <v>16</v>
      </c>
      <c r="B152" s="3" t="s">
        <v>596</v>
      </c>
      <c r="C152" s="3" t="s">
        <v>350</v>
      </c>
      <c r="D152" s="3" t="s">
        <v>597</v>
      </c>
      <c r="E152" s="3" t="s">
        <v>67</v>
      </c>
      <c r="J152" s="8">
        <f>IF(H152="","",H152+IF(I152="",0,I152))</f>
        <v/>
      </c>
      <c r="K152" s="8">
        <f>IF(G152&lt;&gt;"",G152,IF(F152&lt;&gt;"",F152,""))</f>
        <v/>
      </c>
      <c r="L152" s="3" t="s">
        <v>67</v>
      </c>
      <c r="M152" s="3" t="s">
        <v>598</v>
      </c>
      <c r="N152" s="3" t="s">
        <v>44</v>
      </c>
      <c r="O152" s="3" t="s">
        <v>44</v>
      </c>
      <c r="P152" s="3" t="s">
        <v>599</v>
      </c>
      <c r="Q152" s="3"/>
    </row>
    <row r="153" spans="1:17">
      <c r="A153" s="6" t="s">
        <v>16</v>
      </c>
      <c r="B153" s="6" t="s">
        <v>600</v>
      </c>
      <c r="C153" s="6" t="s">
        <v>350</v>
      </c>
      <c r="D153" s="6" t="s">
        <v>601</v>
      </c>
      <c r="E153" s="6" t="s">
        <v>41</v>
      </c>
      <c r="J153" s="9">
        <f>IF(H153="","",H153+IF(I153="",0,I153))</f>
        <v/>
      </c>
      <c r="K153" s="9">
        <f>IF(G153&lt;&gt;"",G153,IF(F153&lt;&gt;"",F153,""))</f>
        <v/>
      </c>
      <c r="L153" s="6" t="s">
        <v>42</v>
      </c>
      <c r="M153" s="6" t="s">
        <v>602</v>
      </c>
      <c r="N153" s="6" t="s">
        <v>44</v>
      </c>
      <c r="O153" s="6" t="s">
        <v>44</v>
      </c>
      <c r="P153" s="6" t="s">
        <v>603</v>
      </c>
      <c r="Q153" s="6"/>
    </row>
    <row r="154" spans="1:17">
      <c r="A154" s="3" t="s">
        <v>16</v>
      </c>
      <c r="B154" s="3" t="s">
        <v>604</v>
      </c>
      <c r="C154" s="3" t="s">
        <v>537</v>
      </c>
      <c r="D154" s="3" t="s">
        <v>605</v>
      </c>
      <c r="E154" s="3" t="s">
        <v>41</v>
      </c>
      <c r="J154" s="8">
        <f>IF(H154="","",H154+IF(I154="",0,I154))</f>
        <v/>
      </c>
      <c r="K154" s="8">
        <f>IF(G154&lt;&gt;"",G154,IF(F154&lt;&gt;"",F154,""))</f>
        <v/>
      </c>
      <c r="L154" s="3" t="s">
        <v>42</v>
      </c>
      <c r="M154" s="3" t="s">
        <v>606</v>
      </c>
      <c r="N154" s="3" t="s">
        <v>44</v>
      </c>
      <c r="O154" s="3" t="s">
        <v>44</v>
      </c>
      <c r="P154" s="3" t="s">
        <v>607</v>
      </c>
      <c r="Q154" s="3"/>
    </row>
    <row r="155" spans="1:17">
      <c r="A155" s="6" t="s">
        <v>16</v>
      </c>
      <c r="B155" s="6" t="s">
        <v>608</v>
      </c>
      <c r="C155" s="6" t="s">
        <v>537</v>
      </c>
      <c r="D155" s="6" t="s">
        <v>609</v>
      </c>
      <c r="E155" s="6" t="s">
        <v>41</v>
      </c>
      <c r="J155" s="9">
        <f>IF(H155="","",H155+IF(I155="",0,I155))</f>
        <v/>
      </c>
      <c r="K155" s="9">
        <f>IF(G155&lt;&gt;"",G155,IF(F155&lt;&gt;"",F155,""))</f>
        <v/>
      </c>
      <c r="L155" s="6" t="s">
        <v>42</v>
      </c>
      <c r="M155" s="6" t="s">
        <v>602</v>
      </c>
      <c r="N155" s="6" t="s">
        <v>44</v>
      </c>
      <c r="O155" s="6" t="s">
        <v>44</v>
      </c>
      <c r="P155" s="6" t="s">
        <v>610</v>
      </c>
      <c r="Q155" s="6"/>
    </row>
    <row r="156" spans="1:17">
      <c r="A156" s="3" t="s">
        <v>16</v>
      </c>
      <c r="B156" s="3" t="s">
        <v>611</v>
      </c>
      <c r="C156" s="3" t="s">
        <v>537</v>
      </c>
      <c r="D156" s="3" t="s">
        <v>612</v>
      </c>
      <c r="E156" s="3" t="s">
        <v>41</v>
      </c>
      <c r="J156" s="8">
        <f>IF(H156="","",H156+IF(I156="",0,I156))</f>
        <v/>
      </c>
      <c r="K156" s="8">
        <f>IF(G156&lt;&gt;"",G156,IF(F156&lt;&gt;"",F156,""))</f>
        <v/>
      </c>
      <c r="L156" s="3" t="s">
        <v>42</v>
      </c>
      <c r="M156" s="3" t="s">
        <v>606</v>
      </c>
      <c r="N156" s="3" t="s">
        <v>44</v>
      </c>
      <c r="O156" s="3" t="s">
        <v>44</v>
      </c>
      <c r="P156" s="3" t="s">
        <v>613</v>
      </c>
      <c r="Q156" s="3"/>
    </row>
    <row r="157" spans="1:17">
      <c r="A157" s="6" t="s">
        <v>16</v>
      </c>
      <c r="B157" s="6" t="s">
        <v>614</v>
      </c>
      <c r="C157" s="6" t="s">
        <v>437</v>
      </c>
      <c r="D157" s="6" t="s">
        <v>615</v>
      </c>
      <c r="E157" s="6" t="s">
        <v>41</v>
      </c>
      <c r="J157" s="9">
        <f>IF(H157="","",H157+IF(I157="",0,I157))</f>
        <v/>
      </c>
      <c r="K157" s="9">
        <f>IF(G157&lt;&gt;"",G157,IF(F157&lt;&gt;"",F157,""))</f>
        <v/>
      </c>
      <c r="L157" s="6" t="s">
        <v>42</v>
      </c>
      <c r="M157" s="6" t="s">
        <v>616</v>
      </c>
      <c r="N157" s="6" t="s">
        <v>44</v>
      </c>
      <c r="O157" s="6" t="s">
        <v>44</v>
      </c>
      <c r="P157" s="6" t="s">
        <v>617</v>
      </c>
      <c r="Q157" s="6"/>
    </row>
    <row r="158" spans="1:17">
      <c r="A158" s="3" t="s">
        <v>16</v>
      </c>
      <c r="B158" s="3" t="s">
        <v>618</v>
      </c>
      <c r="C158" s="3" t="s">
        <v>619</v>
      </c>
      <c r="D158" s="3" t="s">
        <v>620</v>
      </c>
      <c r="E158" s="3" t="s">
        <v>41</v>
      </c>
      <c r="J158" s="8">
        <f>IF(H158="","",H158+IF(I158="",0,I158))</f>
        <v/>
      </c>
      <c r="K158" s="8">
        <f>IF(G158&lt;&gt;"",G158,IF(F158&lt;&gt;"",F158,""))</f>
        <v/>
      </c>
      <c r="L158" s="3" t="s">
        <v>42</v>
      </c>
      <c r="M158" s="3" t="s">
        <v>616</v>
      </c>
      <c r="N158" s="3" t="s">
        <v>44</v>
      </c>
      <c r="O158" s="3" t="s">
        <v>44</v>
      </c>
      <c r="P158" s="3" t="s">
        <v>621</v>
      </c>
      <c r="Q158" s="3"/>
    </row>
    <row r="159" spans="1:17">
      <c r="A159" s="6" t="s">
        <v>16</v>
      </c>
      <c r="B159" s="6" t="s">
        <v>622</v>
      </c>
      <c r="C159" s="6" t="s">
        <v>619</v>
      </c>
      <c r="D159" s="6" t="s">
        <v>623</v>
      </c>
      <c r="E159" s="6" t="s">
        <v>41</v>
      </c>
      <c r="J159" s="9">
        <f>IF(H159="","",H159+IF(I159="",0,I159))</f>
        <v/>
      </c>
      <c r="K159" s="9">
        <f>IF(G159&lt;&gt;"",G159,IF(F159&lt;&gt;"",F159,""))</f>
        <v/>
      </c>
      <c r="L159" s="6" t="s">
        <v>42</v>
      </c>
      <c r="M159" s="6" t="s">
        <v>602</v>
      </c>
      <c r="N159" s="6" t="s">
        <v>44</v>
      </c>
      <c r="O159" s="6" t="s">
        <v>44</v>
      </c>
      <c r="P159" s="6" t="s">
        <v>624</v>
      </c>
      <c r="Q159" s="6"/>
    </row>
    <row r="160" spans="1:17">
      <c r="A160" s="3" t="s">
        <v>16</v>
      </c>
      <c r="B160" s="3" t="s">
        <v>625</v>
      </c>
      <c r="C160" s="3" t="s">
        <v>619</v>
      </c>
      <c r="D160" s="3" t="s">
        <v>626</v>
      </c>
      <c r="E160" s="3" t="s">
        <v>41</v>
      </c>
      <c r="J160" s="8">
        <f>IF(H160="","",H160+IF(I160="",0,I160))</f>
        <v/>
      </c>
      <c r="K160" s="8">
        <f>IF(G160&lt;&gt;"",G160,IF(F160&lt;&gt;"",F160,""))</f>
        <v/>
      </c>
      <c r="L160" s="3" t="s">
        <v>42</v>
      </c>
      <c r="M160" s="3" t="s">
        <v>606</v>
      </c>
      <c r="N160" s="3" t="s">
        <v>44</v>
      </c>
      <c r="O160" s="3" t="s">
        <v>44</v>
      </c>
      <c r="P160" s="3" t="s">
        <v>627</v>
      </c>
      <c r="Q160" s="3"/>
    </row>
    <row r="161" spans="1:17">
      <c r="A161" s="6" t="s">
        <v>16</v>
      </c>
      <c r="B161" s="6" t="s">
        <v>628</v>
      </c>
      <c r="C161" s="6" t="s">
        <v>619</v>
      </c>
      <c r="D161" s="6" t="s">
        <v>629</v>
      </c>
      <c r="E161" s="6" t="s">
        <v>41</v>
      </c>
      <c r="J161" s="9">
        <f>IF(H161="","",H161+IF(I161="",0,I161))</f>
        <v/>
      </c>
      <c r="K161" s="9">
        <f>IF(G161&lt;&gt;"",G161,IF(F161&lt;&gt;"",F161,""))</f>
        <v/>
      </c>
      <c r="L161" s="6" t="s">
        <v>42</v>
      </c>
      <c r="M161" s="6" t="s">
        <v>606</v>
      </c>
      <c r="N161" s="6" t="s">
        <v>44</v>
      </c>
      <c r="O161" s="6" t="s">
        <v>44</v>
      </c>
      <c r="P161" s="6" t="s">
        <v>630</v>
      </c>
      <c r="Q161" s="6"/>
    </row>
    <row r="162" spans="1:17">
      <c r="A162" s="3" t="s">
        <v>16</v>
      </c>
      <c r="B162" s="3" t="s">
        <v>631</v>
      </c>
      <c r="C162" s="3" t="s">
        <v>632</v>
      </c>
      <c r="D162" s="3" t="s">
        <v>633</v>
      </c>
      <c r="E162" s="3" t="s">
        <v>41</v>
      </c>
      <c r="J162" s="8">
        <f>IF(H162="","",H162+IF(I162="",0,I162))</f>
        <v/>
      </c>
      <c r="K162" s="8">
        <f>IF(G162&lt;&gt;"",G162,IF(F162&lt;&gt;"",F162,""))</f>
        <v/>
      </c>
      <c r="L162" s="3" t="s">
        <v>42</v>
      </c>
      <c r="M162" s="3" t="s">
        <v>602</v>
      </c>
      <c r="N162" s="3" t="s">
        <v>44</v>
      </c>
      <c r="O162" s="3" t="s">
        <v>44</v>
      </c>
      <c r="P162" s="3" t="s">
        <v>634</v>
      </c>
      <c r="Q162" s="3"/>
    </row>
    <row r="163" spans="1:17">
      <c r="A163" s="6" t="s">
        <v>16</v>
      </c>
      <c r="B163" s="6" t="s">
        <v>635</v>
      </c>
      <c r="C163" s="6" t="s">
        <v>636</v>
      </c>
      <c r="D163" s="6" t="s">
        <v>637</v>
      </c>
      <c r="E163" s="6" t="s">
        <v>41</v>
      </c>
      <c r="J163" s="9">
        <f>IF(H163="","",H163+IF(I163="",0,I163))</f>
        <v/>
      </c>
      <c r="K163" s="9">
        <f>IF(G163&lt;&gt;"",G163,IF(F163&lt;&gt;"",F163,""))</f>
        <v/>
      </c>
      <c r="L163" s="6" t="s">
        <v>42</v>
      </c>
      <c r="M163" s="6" t="s">
        <v>602</v>
      </c>
      <c r="N163" s="6" t="s">
        <v>44</v>
      </c>
      <c r="O163" s="6" t="s">
        <v>44</v>
      </c>
      <c r="P163" s="6" t="s">
        <v>638</v>
      </c>
      <c r="Q163" s="6"/>
    </row>
    <row r="164" spans="1:17">
      <c r="A164" s="3" t="s">
        <v>16</v>
      </c>
      <c r="B164" s="3" t="s">
        <v>639</v>
      </c>
      <c r="C164" s="3" t="s">
        <v>636</v>
      </c>
      <c r="D164" s="3" t="s">
        <v>640</v>
      </c>
      <c r="E164" s="3" t="s">
        <v>41</v>
      </c>
      <c r="J164" s="8">
        <f>IF(H164="","",H164+IF(I164="",0,I164))</f>
        <v/>
      </c>
      <c r="K164" s="8">
        <f>IF(G164&lt;&gt;"",G164,IF(F164&lt;&gt;"",F164,""))</f>
        <v/>
      </c>
      <c r="L164" s="3" t="s">
        <v>42</v>
      </c>
      <c r="M164" s="3" t="s">
        <v>606</v>
      </c>
      <c r="N164" s="3" t="s">
        <v>44</v>
      </c>
      <c r="O164" s="3" t="s">
        <v>44</v>
      </c>
      <c r="P164" s="3" t="s">
        <v>641</v>
      </c>
      <c r="Q164" s="3"/>
    </row>
    <row r="165" spans="1:17">
      <c r="A165" s="6" t="s">
        <v>16</v>
      </c>
      <c r="B165" s="6" t="s">
        <v>642</v>
      </c>
      <c r="C165" s="6" t="s">
        <v>636</v>
      </c>
      <c r="D165" s="6" t="s">
        <v>643</v>
      </c>
      <c r="E165" s="6" t="s">
        <v>41</v>
      </c>
      <c r="J165" s="9">
        <f>IF(H165="","",H165+IF(I165="",0,I165))</f>
        <v/>
      </c>
      <c r="K165" s="9">
        <f>IF(G165&lt;&gt;"",G165,IF(F165&lt;&gt;"",F165,""))</f>
        <v/>
      </c>
      <c r="L165" s="6" t="s">
        <v>42</v>
      </c>
      <c r="M165" s="6" t="s">
        <v>616</v>
      </c>
      <c r="N165" s="6" t="s">
        <v>44</v>
      </c>
      <c r="O165" s="6" t="s">
        <v>44</v>
      </c>
      <c r="P165" s="6" t="s">
        <v>644</v>
      </c>
      <c r="Q165" s="6"/>
    </row>
    <row r="166" spans="1:17">
      <c r="A166" s="3" t="s">
        <v>16</v>
      </c>
      <c r="B166" s="3" t="s">
        <v>645</v>
      </c>
      <c r="C166" s="3" t="s">
        <v>646</v>
      </c>
      <c r="D166" s="3" t="s">
        <v>647</v>
      </c>
      <c r="E166" s="3" t="s">
        <v>41</v>
      </c>
      <c r="J166" s="8">
        <f>IF(H166="","",H166+IF(I166="",0,I166))</f>
        <v/>
      </c>
      <c r="K166" s="8">
        <f>IF(G166&lt;&gt;"",G166,IF(F166&lt;&gt;"",F166,""))</f>
        <v/>
      </c>
      <c r="L166" s="3" t="s">
        <v>42</v>
      </c>
      <c r="M166" s="3" t="s">
        <v>616</v>
      </c>
      <c r="N166" s="3" t="s">
        <v>44</v>
      </c>
      <c r="O166" s="3" t="s">
        <v>44</v>
      </c>
      <c r="P166" s="3" t="s">
        <v>648</v>
      </c>
      <c r="Q166" s="3"/>
    </row>
    <row r="167" spans="1:17">
      <c r="A167" s="6" t="s">
        <v>16</v>
      </c>
      <c r="B167" s="6" t="s">
        <v>649</v>
      </c>
      <c r="C167" s="6" t="s">
        <v>650</v>
      </c>
      <c r="D167" s="6" t="s">
        <v>651</v>
      </c>
      <c r="E167" s="6" t="s">
        <v>41</v>
      </c>
      <c r="J167" s="9">
        <f>IF(H167="","",H167+IF(I167="",0,I167))</f>
        <v/>
      </c>
      <c r="K167" s="9">
        <f>IF(G167&lt;&gt;"",G167,IF(F167&lt;&gt;"",F167,""))</f>
        <v/>
      </c>
      <c r="L167" s="6" t="s">
        <v>42</v>
      </c>
      <c r="M167" s="6" t="s">
        <v>616</v>
      </c>
      <c r="N167" s="6" t="s">
        <v>44</v>
      </c>
      <c r="O167" s="6" t="s">
        <v>44</v>
      </c>
      <c r="P167" s="6" t="s">
        <v>652</v>
      </c>
      <c r="Q167" s="6"/>
    </row>
    <row r="168" spans="1:17">
      <c r="A168" s="3" t="s">
        <v>16</v>
      </c>
      <c r="B168" s="3" t="s">
        <v>653</v>
      </c>
      <c r="C168" s="3" t="s">
        <v>654</v>
      </c>
      <c r="D168" s="3" t="s">
        <v>655</v>
      </c>
      <c r="E168" s="3" t="s">
        <v>41</v>
      </c>
      <c r="J168" s="8">
        <f>IF(H168="","",H168+IF(I168="",0,I168))</f>
        <v/>
      </c>
      <c r="K168" s="8">
        <f>IF(G168&lt;&gt;"",G168,IF(F168&lt;&gt;"",F168,""))</f>
        <v/>
      </c>
      <c r="L168" s="3" t="s">
        <v>42</v>
      </c>
      <c r="M168" s="3" t="s">
        <v>606</v>
      </c>
      <c r="N168" s="3" t="s">
        <v>44</v>
      </c>
      <c r="O168" s="3" t="s">
        <v>44</v>
      </c>
      <c r="P168" s="3" t="s">
        <v>656</v>
      </c>
      <c r="Q168" s="3"/>
    </row>
    <row r="169" spans="1:17">
      <c r="A169" s="6" t="s">
        <v>16</v>
      </c>
      <c r="B169" s="6" t="s">
        <v>657</v>
      </c>
      <c r="C169" s="6" t="s">
        <v>658</v>
      </c>
      <c r="D169" s="6" t="s">
        <v>659</v>
      </c>
      <c r="E169" s="6" t="s">
        <v>41</v>
      </c>
      <c r="J169" s="9">
        <f>IF(H169="","",H169+IF(I169="",0,I169))</f>
        <v/>
      </c>
      <c r="K169" s="9">
        <f>IF(G169&lt;&gt;"",G169,IF(F169&lt;&gt;"",F169,""))</f>
        <v/>
      </c>
      <c r="L169" s="6" t="s">
        <v>42</v>
      </c>
      <c r="M169" s="6" t="s">
        <v>602</v>
      </c>
      <c r="N169" s="6" t="s">
        <v>44</v>
      </c>
      <c r="O169" s="6" t="s">
        <v>44</v>
      </c>
      <c r="P169" s="6" t="s">
        <v>660</v>
      </c>
      <c r="Q169" s="6"/>
    </row>
    <row r="170" spans="1:17">
      <c r="A170" s="3" t="s">
        <v>16</v>
      </c>
      <c r="B170" s="3" t="s">
        <v>661</v>
      </c>
      <c r="C170" s="3" t="s">
        <v>576</v>
      </c>
      <c r="D170" s="3" t="s">
        <v>662</v>
      </c>
      <c r="E170" s="3" t="s">
        <v>41</v>
      </c>
      <c r="J170" s="8">
        <f>IF(H170="","",H170+IF(I170="",0,I170))</f>
        <v/>
      </c>
      <c r="K170" s="8">
        <f>IF(G170&lt;&gt;"",G170,IF(F170&lt;&gt;"",F170,""))</f>
        <v/>
      </c>
      <c r="L170" s="3" t="s">
        <v>42</v>
      </c>
      <c r="M170" s="3" t="s">
        <v>616</v>
      </c>
      <c r="N170" s="3" t="s">
        <v>44</v>
      </c>
      <c r="O170" s="3" t="s">
        <v>44</v>
      </c>
      <c r="P170" s="3" t="s">
        <v>663</v>
      </c>
      <c r="Q170" s="3"/>
    </row>
    <row r="171" spans="1:17">
      <c r="A171" s="6" t="s">
        <v>17</v>
      </c>
      <c r="B171" s="6" t="s">
        <v>664</v>
      </c>
      <c r="C171" s="6" t="s">
        <v>437</v>
      </c>
      <c r="D171" s="6" t="s">
        <v>665</v>
      </c>
      <c r="E171" s="6" t="s">
        <v>41</v>
      </c>
      <c r="J171" s="9">
        <f>IF(H171="","",H171+IF(I171="",0,I171))</f>
        <v/>
      </c>
      <c r="K171" s="9">
        <f>IF(G171&lt;&gt;"",G171,IF(F171&lt;&gt;"",F171,""))</f>
        <v/>
      </c>
      <c r="L171" s="6" t="s">
        <v>42</v>
      </c>
      <c r="M171" s="6" t="s">
        <v>666</v>
      </c>
      <c r="N171" s="6" t="s">
        <v>44</v>
      </c>
      <c r="O171" s="6" t="s">
        <v>44</v>
      </c>
      <c r="P171" s="6" t="s">
        <v>667</v>
      </c>
      <c r="Q171" s="6"/>
    </row>
    <row r="172" spans="1:17">
      <c r="A172" s="3" t="s">
        <v>17</v>
      </c>
      <c r="B172" s="3" t="s">
        <v>668</v>
      </c>
      <c r="C172" s="3" t="s">
        <v>437</v>
      </c>
      <c r="D172" s="3" t="s">
        <v>669</v>
      </c>
      <c r="E172" s="3" t="s">
        <v>41</v>
      </c>
      <c r="J172" s="8">
        <f>IF(H172="","",H172+IF(I172="",0,I172))</f>
        <v/>
      </c>
      <c r="K172" s="8">
        <f>IF(G172&lt;&gt;"",G172,IF(F172&lt;&gt;"",F172,""))</f>
        <v/>
      </c>
      <c r="L172" s="3" t="s">
        <v>42</v>
      </c>
      <c r="M172" s="3" t="s">
        <v>670</v>
      </c>
      <c r="N172" s="3" t="s">
        <v>44</v>
      </c>
      <c r="O172" s="3" t="s">
        <v>44</v>
      </c>
      <c r="P172" s="3" t="s">
        <v>671</v>
      </c>
      <c r="Q172" s="3"/>
    </row>
    <row r="173" spans="1:17">
      <c r="A173" s="6" t="s">
        <v>17</v>
      </c>
      <c r="B173" s="6" t="s">
        <v>672</v>
      </c>
      <c r="C173" s="6" t="s">
        <v>437</v>
      </c>
      <c r="D173" s="6" t="s">
        <v>673</v>
      </c>
      <c r="E173" s="6" t="s">
        <v>41</v>
      </c>
      <c r="J173" s="9">
        <f>IF(H173="","",H173+IF(I173="",0,I173))</f>
        <v/>
      </c>
      <c r="K173" s="9">
        <f>IF(G173&lt;&gt;"",G173,IF(F173&lt;&gt;"",F173,""))</f>
        <v/>
      </c>
      <c r="L173" s="6" t="s">
        <v>42</v>
      </c>
      <c r="M173" s="6" t="s">
        <v>674</v>
      </c>
      <c r="N173" s="6" t="s">
        <v>44</v>
      </c>
      <c r="O173" s="6" t="s">
        <v>44</v>
      </c>
      <c r="P173" s="6" t="s">
        <v>675</v>
      </c>
      <c r="Q173" s="6"/>
    </row>
    <row r="174" spans="1:17">
      <c r="A174" s="3" t="s">
        <v>17</v>
      </c>
      <c r="B174" s="3" t="s">
        <v>676</v>
      </c>
      <c r="C174" s="3" t="s">
        <v>442</v>
      </c>
      <c r="D174" s="3" t="s">
        <v>677</v>
      </c>
      <c r="E174" s="3" t="s">
        <v>41</v>
      </c>
      <c r="J174" s="8">
        <f>IF(H174="","",H174+IF(I174="",0,I174))</f>
        <v/>
      </c>
      <c r="K174" s="8">
        <f>IF(G174&lt;&gt;"",G174,IF(F174&lt;&gt;"",F174,""))</f>
        <v/>
      </c>
      <c r="L174" s="3" t="s">
        <v>42</v>
      </c>
      <c r="M174" s="3" t="s">
        <v>678</v>
      </c>
      <c r="N174" s="3" t="s">
        <v>44</v>
      </c>
      <c r="O174" s="3" t="s">
        <v>44</v>
      </c>
      <c r="P174" s="3" t="s">
        <v>679</v>
      </c>
      <c r="Q174" s="3"/>
    </row>
    <row r="175" spans="1:17">
      <c r="A175" s="6" t="s">
        <v>17</v>
      </c>
      <c r="B175" s="6" t="s">
        <v>680</v>
      </c>
      <c r="C175" s="6" t="s">
        <v>681</v>
      </c>
      <c r="D175" s="6" t="s">
        <v>682</v>
      </c>
      <c r="E175" s="6" t="s">
        <v>41</v>
      </c>
      <c r="J175" s="9">
        <f>IF(H175="","",H175+IF(I175="",0,I175))</f>
        <v/>
      </c>
      <c r="K175" s="9">
        <f>IF(G175&lt;&gt;"",G175,IF(F175&lt;&gt;"",F175,""))</f>
        <v/>
      </c>
      <c r="L175" s="6" t="s">
        <v>42</v>
      </c>
      <c r="M175" s="6" t="s">
        <v>666</v>
      </c>
      <c r="N175" s="6" t="s">
        <v>44</v>
      </c>
      <c r="O175" s="6" t="s">
        <v>44</v>
      </c>
      <c r="P175" s="6" t="s">
        <v>683</v>
      </c>
      <c r="Q175" s="6"/>
    </row>
    <row r="176" spans="1:17">
      <c r="A176" s="3" t="s">
        <v>17</v>
      </c>
      <c r="B176" s="3" t="s">
        <v>684</v>
      </c>
      <c r="C176" s="3" t="s">
        <v>681</v>
      </c>
      <c r="D176" s="3" t="s">
        <v>685</v>
      </c>
      <c r="E176" s="3" t="s">
        <v>41</v>
      </c>
      <c r="J176" s="8">
        <f>IF(H176="","",H176+IF(I176="",0,I176))</f>
        <v/>
      </c>
      <c r="K176" s="8">
        <f>IF(G176&lt;&gt;"",G176,IF(F176&lt;&gt;"",F176,""))</f>
        <v/>
      </c>
      <c r="L176" s="3" t="s">
        <v>42</v>
      </c>
      <c r="M176" s="3" t="s">
        <v>686</v>
      </c>
      <c r="N176" s="3" t="s">
        <v>44</v>
      </c>
      <c r="O176" s="3" t="s">
        <v>44</v>
      </c>
      <c r="P176" s="3" t="s">
        <v>687</v>
      </c>
      <c r="Q176" s="3"/>
    </row>
    <row r="177" spans="1:17">
      <c r="A177" s="6" t="s">
        <v>17</v>
      </c>
      <c r="B177" s="6" t="s">
        <v>688</v>
      </c>
      <c r="C177" s="6" t="s">
        <v>681</v>
      </c>
      <c r="D177" s="6" t="s">
        <v>689</v>
      </c>
      <c r="E177" s="6" t="s">
        <v>41</v>
      </c>
      <c r="J177" s="9">
        <f>IF(H177="","",H177+IF(I177="",0,I177))</f>
        <v/>
      </c>
      <c r="K177" s="9">
        <f>IF(G177&lt;&gt;"",G177,IF(F177&lt;&gt;"",F177,""))</f>
        <v/>
      </c>
      <c r="L177" s="6" t="s">
        <v>42</v>
      </c>
      <c r="M177" s="6" t="s">
        <v>690</v>
      </c>
      <c r="N177" s="6" t="s">
        <v>44</v>
      </c>
      <c r="O177" s="6" t="s">
        <v>44</v>
      </c>
      <c r="P177" s="6" t="s">
        <v>691</v>
      </c>
      <c r="Q177" s="6"/>
    </row>
    <row r="178" spans="1:17">
      <c r="A178" s="3" t="s">
        <v>17</v>
      </c>
      <c r="B178" s="3" t="s">
        <v>692</v>
      </c>
      <c r="C178" s="3" t="s">
        <v>504</v>
      </c>
      <c r="D178" s="3" t="s">
        <v>693</v>
      </c>
      <c r="E178" s="3" t="s">
        <v>41</v>
      </c>
      <c r="J178" s="8">
        <f>IF(H178="","",H178+IF(I178="",0,I178))</f>
        <v/>
      </c>
      <c r="K178" s="8">
        <f>IF(G178&lt;&gt;"",G178,IF(F178&lt;&gt;"",F178,""))</f>
        <v/>
      </c>
      <c r="L178" s="3" t="s">
        <v>42</v>
      </c>
      <c r="M178" s="3" t="s">
        <v>666</v>
      </c>
      <c r="N178" s="3" t="s">
        <v>44</v>
      </c>
      <c r="O178" s="3" t="s">
        <v>44</v>
      </c>
      <c r="P178" s="3" t="s">
        <v>694</v>
      </c>
      <c r="Q178" s="3"/>
    </row>
    <row r="179" spans="1:17">
      <c r="A179" s="6" t="s">
        <v>17</v>
      </c>
      <c r="B179" s="6" t="s">
        <v>695</v>
      </c>
      <c r="C179" s="6" t="s">
        <v>504</v>
      </c>
      <c r="D179" s="6" t="s">
        <v>696</v>
      </c>
      <c r="E179" s="6" t="s">
        <v>41</v>
      </c>
      <c r="J179" s="9">
        <f>IF(H179="","",H179+IF(I179="",0,I179))</f>
        <v/>
      </c>
      <c r="K179" s="9">
        <f>IF(G179&lt;&gt;"",G179,IF(F179&lt;&gt;"",F179,""))</f>
        <v/>
      </c>
      <c r="L179" s="6" t="s">
        <v>42</v>
      </c>
      <c r="M179" s="6" t="s">
        <v>697</v>
      </c>
      <c r="N179" s="6" t="s">
        <v>44</v>
      </c>
      <c r="O179" s="6" t="s">
        <v>44</v>
      </c>
      <c r="P179" s="6" t="s">
        <v>698</v>
      </c>
      <c r="Q179" s="6"/>
    </row>
  </sheetData>
  <autoFilter ref="A1:Q179"/>
  <conditionalFormatting sqref="E2:E179">
    <cfRule type="containsText" dxfId="0" priority="1" operator="containsText" text="installed">
      <formula>NOT(ISERROR(SEARCH("installed",E2)))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9253A"/>
  </sheetPr>
  <dimension ref="A1:D8"/>
  <sheetViews>
    <sheetView showGridLines="0" workbookViewId="0"/>
  </sheetViews>
  <sheetFormatPr defaultRowHeight="15"/>
  <cols>
    <col min="1" max="1" width="40.7109375" customWidth="1"/>
    <col min="2" max="2" width="23.7109375" customWidth="1"/>
    <col min="3" max="4" width="52.7109375" customWidth="1"/>
  </cols>
  <sheetData>
    <row r="1" spans="1:4">
      <c r="A1" s="2" t="s">
        <v>699</v>
      </c>
      <c r="B1" s="2" t="s">
        <v>700</v>
      </c>
      <c r="C1" s="2" t="s">
        <v>701</v>
      </c>
      <c r="D1" s="2" t="s">
        <v>702</v>
      </c>
    </row>
    <row r="2" spans="1:4">
      <c r="A2" s="3" t="s">
        <v>703</v>
      </c>
      <c r="B2" s="8">
        <f>SUM(INVENTAIRE!H2:H179)</f>
        <v>0</v>
      </c>
      <c r="C2" s="7" t="s">
        <v>709</v>
      </c>
    </row>
    <row r="3" spans="1:4">
      <c r="A3" s="3" t="s">
        <v>704</v>
      </c>
      <c r="B3" s="8">
        <f>SUMIF(INVENTAIRE!H2:H179,"&gt;=0",INVENTAIRE!I2:I179)</f>
        <v>0</v>
      </c>
      <c r="C3" s="7" t="s">
        <v>710</v>
      </c>
    </row>
    <row r="4" spans="1:4">
      <c r="A4" s="10" t="s">
        <v>705</v>
      </c>
      <c r="B4" s="5">
        <f>B2</f>
        <v>0</v>
      </c>
    </row>
    <row r="5" spans="1:4">
      <c r="A5" s="3" t="s">
        <v>706</v>
      </c>
      <c r="B5" s="8">
        <f>B3</f>
        <v>0</v>
      </c>
    </row>
    <row r="6" spans="1:4">
      <c r="A6" s="10" t="s">
        <v>707</v>
      </c>
      <c r="B6" s="5">
        <f>B4+B5</f>
        <v>0</v>
      </c>
    </row>
    <row r="8" spans="1:4">
      <c r="A8" s="3" t="s">
        <v>708</v>
      </c>
      <c r="B8" s="8">
        <f>SUM(INVENTAIRE!K2:K179)</f>
        <v>0</v>
      </c>
      <c r="C8" s="7" t="s">
        <v>711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02A3F"/>
  </sheetPr>
  <dimension ref="A1:P35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38</v>
      </c>
      <c r="B2" s="3" t="s">
        <v>39</v>
      </c>
      <c r="C2" s="3" t="s">
        <v>40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42</v>
      </c>
      <c r="L2" s="3" t="s">
        <v>43</v>
      </c>
      <c r="M2" s="3" t="s">
        <v>44</v>
      </c>
      <c r="N2" s="3" t="s">
        <v>44</v>
      </c>
      <c r="O2" s="3" t="s">
        <v>45</v>
      </c>
      <c r="P2" s="3"/>
    </row>
    <row r="3" spans="1:16">
      <c r="A3" s="6" t="s">
        <v>46</v>
      </c>
      <c r="B3" s="6" t="s">
        <v>39</v>
      </c>
      <c r="C3" s="6" t="s">
        <v>47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43</v>
      </c>
      <c r="M3" s="6" t="s">
        <v>44</v>
      </c>
      <c r="N3" s="6" t="s">
        <v>44</v>
      </c>
      <c r="O3" s="6" t="s">
        <v>48</v>
      </c>
      <c r="P3" s="6"/>
    </row>
    <row r="4" spans="1:16">
      <c r="A4" s="3" t="s">
        <v>49</v>
      </c>
      <c r="B4" s="3" t="s">
        <v>39</v>
      </c>
      <c r="C4" s="3" t="s">
        <v>50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43</v>
      </c>
      <c r="M4" s="3" t="s">
        <v>44</v>
      </c>
      <c r="N4" s="3" t="s">
        <v>44</v>
      </c>
      <c r="O4" s="3" t="s">
        <v>51</v>
      </c>
      <c r="P4" s="3"/>
    </row>
    <row r="5" spans="1:16">
      <c r="A5" s="6" t="s">
        <v>52</v>
      </c>
      <c r="B5" s="6" t="s">
        <v>39</v>
      </c>
      <c r="C5" s="6" t="s">
        <v>53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43</v>
      </c>
      <c r="M5" s="6" t="s">
        <v>44</v>
      </c>
      <c r="N5" s="6" t="s">
        <v>44</v>
      </c>
      <c r="O5" s="6" t="s">
        <v>54</v>
      </c>
      <c r="P5" s="6"/>
    </row>
    <row r="6" spans="1:16">
      <c r="A6" s="3" t="s">
        <v>55</v>
      </c>
      <c r="B6" s="3" t="s">
        <v>39</v>
      </c>
      <c r="C6" s="3" t="s">
        <v>56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43</v>
      </c>
      <c r="M6" s="3" t="s">
        <v>44</v>
      </c>
      <c r="N6" s="3" t="s">
        <v>44</v>
      </c>
      <c r="O6" s="3" t="s">
        <v>57</v>
      </c>
      <c r="P6" s="3"/>
    </row>
    <row r="7" spans="1:16">
      <c r="A7" s="6" t="s">
        <v>58</v>
      </c>
      <c r="B7" s="6" t="s">
        <v>39</v>
      </c>
      <c r="C7" s="6" t="s">
        <v>59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60</v>
      </c>
      <c r="M7" s="6" t="s">
        <v>44</v>
      </c>
      <c r="N7" s="6" t="s">
        <v>44</v>
      </c>
      <c r="O7" s="6" t="s">
        <v>61</v>
      </c>
      <c r="P7" s="6"/>
    </row>
    <row r="8" spans="1:16">
      <c r="A8" s="3" t="s">
        <v>62</v>
      </c>
      <c r="B8" s="3" t="s">
        <v>39</v>
      </c>
      <c r="C8" s="3" t="s">
        <v>63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60</v>
      </c>
      <c r="M8" s="3" t="s">
        <v>44</v>
      </c>
      <c r="N8" s="3" t="s">
        <v>44</v>
      </c>
      <c r="O8" s="3" t="s">
        <v>64</v>
      </c>
      <c r="P8" s="3"/>
    </row>
    <row r="9" spans="1:16">
      <c r="A9" s="6" t="s">
        <v>65</v>
      </c>
      <c r="B9" s="6" t="s">
        <v>39</v>
      </c>
      <c r="C9" s="6" t="s">
        <v>66</v>
      </c>
      <c r="D9" s="6" t="s">
        <v>67</v>
      </c>
      <c r="I9" s="9">
        <f>IF(G9="","",G9+IF(H9="",0,H9))</f>
        <v/>
      </c>
      <c r="J9" s="9">
        <f>IF(F9&lt;&gt;"",F9,IF(E9&lt;&gt;"",E9,""))</f>
        <v/>
      </c>
      <c r="K9" s="6" t="s">
        <v>67</v>
      </c>
      <c r="L9" s="6" t="s">
        <v>68</v>
      </c>
      <c r="M9" s="6" t="s">
        <v>44</v>
      </c>
      <c r="N9" s="6" t="s">
        <v>44</v>
      </c>
      <c r="O9" s="6" t="s">
        <v>69</v>
      </c>
      <c r="P9" s="6"/>
    </row>
    <row r="10" spans="1:16">
      <c r="A10" s="3" t="s">
        <v>70</v>
      </c>
      <c r="B10" s="3" t="s">
        <v>39</v>
      </c>
      <c r="C10" s="3" t="s">
        <v>71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72</v>
      </c>
      <c r="M10" s="3" t="s">
        <v>44</v>
      </c>
      <c r="N10" s="3" t="s">
        <v>44</v>
      </c>
      <c r="O10" s="3" t="s">
        <v>73</v>
      </c>
      <c r="P10" s="3"/>
    </row>
    <row r="11" spans="1:16">
      <c r="A11" s="6" t="s">
        <v>74</v>
      </c>
      <c r="B11" s="6" t="s">
        <v>39</v>
      </c>
      <c r="C11" s="6" t="s">
        <v>75</v>
      </c>
      <c r="D11" s="6" t="s">
        <v>41</v>
      </c>
      <c r="I11" s="9">
        <f>IF(G11="","",G11+IF(H11="",0,H11))</f>
        <v/>
      </c>
      <c r="J11" s="9">
        <f>IF(F11&lt;&gt;"",F11,IF(E11&lt;&gt;"",E11,""))</f>
        <v/>
      </c>
      <c r="K11" s="6" t="s">
        <v>42</v>
      </c>
      <c r="L11" s="6" t="s">
        <v>72</v>
      </c>
      <c r="M11" s="6" t="s">
        <v>44</v>
      </c>
      <c r="N11" s="6" t="s">
        <v>44</v>
      </c>
      <c r="O11" s="6" t="s">
        <v>76</v>
      </c>
      <c r="P11" s="6"/>
    </row>
    <row r="12" spans="1:16">
      <c r="A12" s="3" t="s">
        <v>77</v>
      </c>
      <c r="B12" s="3" t="s">
        <v>39</v>
      </c>
      <c r="C12" s="3" t="s">
        <v>78</v>
      </c>
      <c r="D12" s="3" t="s">
        <v>41</v>
      </c>
      <c r="I12" s="8">
        <f>IF(G12="","",G12+IF(H12="",0,H12))</f>
        <v/>
      </c>
      <c r="J12" s="8">
        <f>IF(F12&lt;&gt;"",F12,IF(E12&lt;&gt;"",E12,""))</f>
        <v/>
      </c>
      <c r="K12" s="3" t="s">
        <v>42</v>
      </c>
      <c r="L12" s="3" t="s">
        <v>72</v>
      </c>
      <c r="M12" s="3" t="s">
        <v>44</v>
      </c>
      <c r="N12" s="3" t="s">
        <v>44</v>
      </c>
      <c r="O12" s="3" t="s">
        <v>79</v>
      </c>
      <c r="P12" s="3"/>
    </row>
    <row r="13" spans="1:16">
      <c r="A13" s="6" t="s">
        <v>80</v>
      </c>
      <c r="B13" s="6" t="s">
        <v>39</v>
      </c>
      <c r="C13" s="6" t="s">
        <v>81</v>
      </c>
      <c r="D13" s="6" t="s">
        <v>41</v>
      </c>
      <c r="I13" s="9">
        <f>IF(G13="","",G13+IF(H13="",0,H13))</f>
        <v/>
      </c>
      <c r="J13" s="9">
        <f>IF(F13&lt;&gt;"",F13,IF(E13&lt;&gt;"",E13,""))</f>
        <v/>
      </c>
      <c r="K13" s="6" t="s">
        <v>42</v>
      </c>
      <c r="L13" s="6" t="s">
        <v>72</v>
      </c>
      <c r="M13" s="6" t="s">
        <v>44</v>
      </c>
      <c r="N13" s="6" t="s">
        <v>44</v>
      </c>
      <c r="O13" s="6" t="s">
        <v>82</v>
      </c>
      <c r="P13" s="6"/>
    </row>
    <row r="14" spans="1:16">
      <c r="A14" s="3" t="s">
        <v>83</v>
      </c>
      <c r="B14" s="3" t="s">
        <v>39</v>
      </c>
      <c r="C14" s="3" t="s">
        <v>84</v>
      </c>
      <c r="D14" s="3" t="s">
        <v>41</v>
      </c>
      <c r="I14" s="8">
        <f>IF(G14="","",G14+IF(H14="",0,H14))</f>
        <v/>
      </c>
      <c r="J14" s="8">
        <f>IF(F14&lt;&gt;"",F14,IF(E14&lt;&gt;"",E14,""))</f>
        <v/>
      </c>
      <c r="K14" s="3" t="s">
        <v>42</v>
      </c>
      <c r="L14" s="3" t="s">
        <v>72</v>
      </c>
      <c r="M14" s="3" t="s">
        <v>44</v>
      </c>
      <c r="N14" s="3" t="s">
        <v>44</v>
      </c>
      <c r="O14" s="3" t="s">
        <v>85</v>
      </c>
      <c r="P14" s="3"/>
    </row>
    <row r="15" spans="1:16">
      <c r="A15" s="6" t="s">
        <v>86</v>
      </c>
      <c r="B15" s="6" t="s">
        <v>39</v>
      </c>
      <c r="C15" s="6" t="s">
        <v>87</v>
      </c>
      <c r="D15" s="6" t="s">
        <v>41</v>
      </c>
      <c r="I15" s="9">
        <f>IF(G15="","",G15+IF(H15="",0,H15))</f>
        <v/>
      </c>
      <c r="J15" s="9">
        <f>IF(F15&lt;&gt;"",F15,IF(E15&lt;&gt;"",E15,""))</f>
        <v/>
      </c>
      <c r="K15" s="6" t="s">
        <v>42</v>
      </c>
      <c r="L15" s="6" t="s">
        <v>88</v>
      </c>
      <c r="M15" s="6" t="s">
        <v>44</v>
      </c>
      <c r="N15" s="6" t="s">
        <v>44</v>
      </c>
      <c r="O15" s="6" t="s">
        <v>89</v>
      </c>
      <c r="P15" s="6"/>
    </row>
    <row r="16" spans="1:16">
      <c r="A16" s="3" t="s">
        <v>90</v>
      </c>
      <c r="B16" s="3" t="s">
        <v>39</v>
      </c>
      <c r="C16" s="3" t="s">
        <v>91</v>
      </c>
      <c r="D16" s="3" t="s">
        <v>41</v>
      </c>
      <c r="I16" s="8">
        <f>IF(G16="","",G16+IF(H16="",0,H16))</f>
        <v/>
      </c>
      <c r="J16" s="8">
        <f>IF(F16&lt;&gt;"",F16,IF(E16&lt;&gt;"",E16,""))</f>
        <v/>
      </c>
      <c r="K16" s="3" t="s">
        <v>42</v>
      </c>
      <c r="L16" s="3" t="s">
        <v>88</v>
      </c>
      <c r="M16" s="3" t="s">
        <v>44</v>
      </c>
      <c r="N16" s="3" t="s">
        <v>44</v>
      </c>
      <c r="O16" s="3" t="s">
        <v>92</v>
      </c>
      <c r="P16" s="3"/>
    </row>
    <row r="17" spans="1:16">
      <c r="A17" s="6" t="s">
        <v>93</v>
      </c>
      <c r="B17" s="6" t="s">
        <v>39</v>
      </c>
      <c r="C17" s="6" t="s">
        <v>94</v>
      </c>
      <c r="D17" s="6" t="s">
        <v>41</v>
      </c>
      <c r="I17" s="9">
        <f>IF(G17="","",G17+IF(H17="",0,H17))</f>
        <v/>
      </c>
      <c r="J17" s="9">
        <f>IF(F17&lt;&gt;"",F17,IF(E17&lt;&gt;"",E17,""))</f>
        <v/>
      </c>
      <c r="K17" s="6" t="s">
        <v>42</v>
      </c>
      <c r="L17" s="6" t="s">
        <v>88</v>
      </c>
      <c r="M17" s="6" t="s">
        <v>44</v>
      </c>
      <c r="N17" s="6" t="s">
        <v>44</v>
      </c>
      <c r="O17" s="6" t="s">
        <v>95</v>
      </c>
      <c r="P17" s="6"/>
    </row>
    <row r="18" spans="1:16">
      <c r="A18" s="3" t="s">
        <v>96</v>
      </c>
      <c r="B18" s="3" t="s">
        <v>39</v>
      </c>
      <c r="C18" s="3" t="s">
        <v>97</v>
      </c>
      <c r="D18" s="3" t="s">
        <v>41</v>
      </c>
      <c r="I18" s="8">
        <f>IF(G18="","",G18+IF(H18="",0,H18))</f>
        <v/>
      </c>
      <c r="J18" s="8">
        <f>IF(F18&lt;&gt;"",F18,IF(E18&lt;&gt;"",E18,""))</f>
        <v/>
      </c>
      <c r="K18" s="3" t="s">
        <v>42</v>
      </c>
      <c r="L18" s="3" t="s">
        <v>98</v>
      </c>
      <c r="M18" s="3" t="s">
        <v>44</v>
      </c>
      <c r="N18" s="3" t="s">
        <v>44</v>
      </c>
      <c r="O18" s="3" t="s">
        <v>99</v>
      </c>
      <c r="P18" s="3"/>
    </row>
    <row r="19" spans="1:16">
      <c r="A19" s="6" t="s">
        <v>100</v>
      </c>
      <c r="B19" s="6" t="s">
        <v>39</v>
      </c>
      <c r="C19" s="6" t="s">
        <v>101</v>
      </c>
      <c r="D19" s="6" t="s">
        <v>41</v>
      </c>
      <c r="I19" s="9">
        <f>IF(G19="","",G19+IF(H19="",0,H19))</f>
        <v/>
      </c>
      <c r="J19" s="9">
        <f>IF(F19&lt;&gt;"",F19,IF(E19&lt;&gt;"",E19,""))</f>
        <v/>
      </c>
      <c r="K19" s="6" t="s">
        <v>42</v>
      </c>
      <c r="L19" s="6" t="s">
        <v>102</v>
      </c>
      <c r="M19" s="6" t="s">
        <v>44</v>
      </c>
      <c r="N19" s="6" t="s">
        <v>44</v>
      </c>
      <c r="O19" s="6" t="s">
        <v>103</v>
      </c>
      <c r="P19" s="6"/>
    </row>
    <row r="20" spans="1:16">
      <c r="A20" s="3" t="s">
        <v>104</v>
      </c>
      <c r="B20" s="3" t="s">
        <v>39</v>
      </c>
      <c r="C20" s="3" t="s">
        <v>105</v>
      </c>
      <c r="D20" s="3" t="s">
        <v>41</v>
      </c>
      <c r="I20" s="8">
        <f>IF(G20="","",G20+IF(H20="",0,H20))</f>
        <v/>
      </c>
      <c r="J20" s="8">
        <f>IF(F20&lt;&gt;"",F20,IF(E20&lt;&gt;"",E20,""))</f>
        <v/>
      </c>
      <c r="K20" s="3" t="s">
        <v>42</v>
      </c>
      <c r="L20" s="3" t="s">
        <v>106</v>
      </c>
      <c r="M20" s="3" t="s">
        <v>44</v>
      </c>
      <c r="N20" s="3" t="s">
        <v>44</v>
      </c>
      <c r="O20" s="3" t="s">
        <v>107</v>
      </c>
      <c r="P20" s="3"/>
    </row>
    <row r="21" spans="1:16">
      <c r="A21" s="6" t="s">
        <v>108</v>
      </c>
      <c r="B21" s="6" t="s">
        <v>109</v>
      </c>
      <c r="C21" s="6" t="s">
        <v>110</v>
      </c>
      <c r="D21" s="6" t="s">
        <v>41</v>
      </c>
      <c r="I21" s="9">
        <f>IF(G21="","",G21+IF(H21="",0,H21))</f>
        <v/>
      </c>
      <c r="J21" s="9">
        <f>IF(F21&lt;&gt;"",F21,IF(E21&lt;&gt;"",E21,""))</f>
        <v/>
      </c>
      <c r="K21" s="6" t="s">
        <v>42</v>
      </c>
      <c r="L21" s="6" t="s">
        <v>111</v>
      </c>
      <c r="M21" s="6" t="s">
        <v>44</v>
      </c>
      <c r="N21" s="6" t="s">
        <v>44</v>
      </c>
      <c r="O21" s="6" t="s">
        <v>112</v>
      </c>
      <c r="P21" s="6"/>
    </row>
    <row r="22" spans="1:16">
      <c r="A22" s="3" t="s">
        <v>113</v>
      </c>
      <c r="B22" s="3" t="s">
        <v>109</v>
      </c>
      <c r="C22" s="3" t="s">
        <v>114</v>
      </c>
      <c r="D22" s="3" t="s">
        <v>41</v>
      </c>
      <c r="I22" s="8">
        <f>IF(G22="","",G22+IF(H22="",0,H22))</f>
        <v/>
      </c>
      <c r="J22" s="8">
        <f>IF(F22&lt;&gt;"",F22,IF(E22&lt;&gt;"",E22,""))</f>
        <v/>
      </c>
      <c r="K22" s="3" t="s">
        <v>42</v>
      </c>
      <c r="L22" s="3" t="s">
        <v>111</v>
      </c>
      <c r="M22" s="3" t="s">
        <v>44</v>
      </c>
      <c r="N22" s="3" t="s">
        <v>44</v>
      </c>
      <c r="O22" s="3" t="s">
        <v>115</v>
      </c>
      <c r="P22" s="3"/>
    </row>
    <row r="23" spans="1:16">
      <c r="A23" s="6" t="s">
        <v>116</v>
      </c>
      <c r="B23" s="6" t="s">
        <v>109</v>
      </c>
      <c r="C23" s="6" t="s">
        <v>117</v>
      </c>
      <c r="D23" s="6" t="s">
        <v>41</v>
      </c>
      <c r="I23" s="9">
        <f>IF(G23="","",G23+IF(H23="",0,H23))</f>
        <v/>
      </c>
      <c r="J23" s="9">
        <f>IF(F23&lt;&gt;"",F23,IF(E23&lt;&gt;"",E23,""))</f>
        <v/>
      </c>
      <c r="K23" s="6" t="s">
        <v>42</v>
      </c>
      <c r="L23" s="6" t="s">
        <v>118</v>
      </c>
      <c r="M23" s="6" t="s">
        <v>44</v>
      </c>
      <c r="N23" s="6" t="s">
        <v>44</v>
      </c>
      <c r="O23" s="6" t="s">
        <v>119</v>
      </c>
      <c r="P23" s="6"/>
    </row>
    <row r="24" spans="1:16">
      <c r="A24" s="3" t="s">
        <v>120</v>
      </c>
      <c r="B24" s="3" t="s">
        <v>109</v>
      </c>
      <c r="C24" s="3" t="s">
        <v>121</v>
      </c>
      <c r="D24" s="3" t="s">
        <v>41</v>
      </c>
      <c r="I24" s="8">
        <f>IF(G24="","",G24+IF(H24="",0,H24))</f>
        <v/>
      </c>
      <c r="J24" s="8">
        <f>IF(F24&lt;&gt;"",F24,IF(E24&lt;&gt;"",E24,""))</f>
        <v/>
      </c>
      <c r="K24" s="3" t="s">
        <v>42</v>
      </c>
      <c r="L24" s="3" t="s">
        <v>122</v>
      </c>
      <c r="M24" s="3" t="s">
        <v>44</v>
      </c>
      <c r="N24" s="3" t="s">
        <v>44</v>
      </c>
      <c r="O24" s="3" t="s">
        <v>123</v>
      </c>
      <c r="P24" s="3"/>
    </row>
    <row r="25" spans="1:16">
      <c r="A25" s="6" t="s">
        <v>124</v>
      </c>
      <c r="B25" s="6" t="s">
        <v>109</v>
      </c>
      <c r="C25" s="6" t="s">
        <v>125</v>
      </c>
      <c r="D25" s="6" t="s">
        <v>41</v>
      </c>
      <c r="I25" s="9">
        <f>IF(G25="","",G25+IF(H25="",0,H25))</f>
        <v/>
      </c>
      <c r="J25" s="9">
        <f>IF(F25&lt;&gt;"",F25,IF(E25&lt;&gt;"",E25,""))</f>
        <v/>
      </c>
      <c r="K25" s="6" t="s">
        <v>42</v>
      </c>
      <c r="L25" s="6" t="s">
        <v>126</v>
      </c>
      <c r="M25" s="6" t="s">
        <v>44</v>
      </c>
      <c r="N25" s="6" t="s">
        <v>44</v>
      </c>
      <c r="O25" s="6" t="s">
        <v>127</v>
      </c>
      <c r="P25" s="6"/>
    </row>
    <row r="26" spans="1:16">
      <c r="A26" s="3" t="s">
        <v>128</v>
      </c>
      <c r="B26" s="3" t="s">
        <v>109</v>
      </c>
      <c r="C26" s="3" t="s">
        <v>129</v>
      </c>
      <c r="D26" s="3" t="s">
        <v>41</v>
      </c>
      <c r="I26" s="8">
        <f>IF(G26="","",G26+IF(H26="",0,H26))</f>
        <v/>
      </c>
      <c r="J26" s="8">
        <f>IF(F26&lt;&gt;"",F26,IF(E26&lt;&gt;"",E26,""))</f>
        <v/>
      </c>
      <c r="K26" s="3" t="s">
        <v>42</v>
      </c>
      <c r="L26" s="3" t="s">
        <v>126</v>
      </c>
      <c r="M26" s="3" t="s">
        <v>44</v>
      </c>
      <c r="N26" s="3" t="s">
        <v>44</v>
      </c>
      <c r="O26" s="3" t="s">
        <v>130</v>
      </c>
      <c r="P26" s="3"/>
    </row>
    <row r="27" spans="1:16">
      <c r="A27" s="6" t="s">
        <v>131</v>
      </c>
      <c r="B27" s="6" t="s">
        <v>109</v>
      </c>
      <c r="C27" s="6" t="s">
        <v>132</v>
      </c>
      <c r="D27" s="6" t="s">
        <v>41</v>
      </c>
      <c r="I27" s="9">
        <f>IF(G27="","",G27+IF(H27="",0,H27))</f>
        <v/>
      </c>
      <c r="J27" s="9">
        <f>IF(F27&lt;&gt;"",F27,IF(E27&lt;&gt;"",E27,""))</f>
        <v/>
      </c>
      <c r="K27" s="6" t="s">
        <v>42</v>
      </c>
      <c r="L27" s="6" t="s">
        <v>133</v>
      </c>
      <c r="M27" s="6" t="s">
        <v>44</v>
      </c>
      <c r="N27" s="6" t="s">
        <v>44</v>
      </c>
      <c r="O27" s="6" t="s">
        <v>134</v>
      </c>
      <c r="P27" s="6"/>
    </row>
    <row r="28" spans="1:16">
      <c r="A28" s="3" t="s">
        <v>135</v>
      </c>
      <c r="B28" s="3" t="s">
        <v>109</v>
      </c>
      <c r="C28" s="3" t="s">
        <v>136</v>
      </c>
      <c r="D28" s="3" t="s">
        <v>41</v>
      </c>
      <c r="I28" s="8">
        <f>IF(G28="","",G28+IF(H28="",0,H28))</f>
        <v/>
      </c>
      <c r="J28" s="8">
        <f>IF(F28&lt;&gt;"",F28,IF(E28&lt;&gt;"",E28,""))</f>
        <v/>
      </c>
      <c r="K28" s="3" t="s">
        <v>42</v>
      </c>
      <c r="L28" s="3" t="s">
        <v>137</v>
      </c>
      <c r="M28" s="3" t="s">
        <v>44</v>
      </c>
      <c r="N28" s="3" t="s">
        <v>44</v>
      </c>
      <c r="O28" s="3" t="s">
        <v>138</v>
      </c>
      <c r="P28" s="3"/>
    </row>
    <row r="29" spans="1:16">
      <c r="A29" s="6" t="s">
        <v>139</v>
      </c>
      <c r="B29" s="6" t="s">
        <v>109</v>
      </c>
      <c r="C29" s="6" t="s">
        <v>140</v>
      </c>
      <c r="D29" s="6" t="s">
        <v>41</v>
      </c>
      <c r="I29" s="9">
        <f>IF(G29="","",G29+IF(H29="",0,H29))</f>
        <v/>
      </c>
      <c r="J29" s="9">
        <f>IF(F29&lt;&gt;"",F29,IF(E29&lt;&gt;"",E29,""))</f>
        <v/>
      </c>
      <c r="K29" s="6" t="s">
        <v>42</v>
      </c>
      <c r="L29" s="6" t="s">
        <v>141</v>
      </c>
      <c r="M29" s="6" t="s">
        <v>44</v>
      </c>
      <c r="N29" s="6" t="s">
        <v>44</v>
      </c>
      <c r="O29" s="6" t="s">
        <v>142</v>
      </c>
      <c r="P29" s="6"/>
    </row>
    <row r="30" spans="1:16">
      <c r="A30" s="3" t="s">
        <v>143</v>
      </c>
      <c r="B30" s="3" t="s">
        <v>109</v>
      </c>
      <c r="C30" s="3" t="s">
        <v>144</v>
      </c>
      <c r="D30" s="3" t="s">
        <v>41</v>
      </c>
      <c r="I30" s="8">
        <f>IF(G30="","",G30+IF(H30="",0,H30))</f>
        <v/>
      </c>
      <c r="J30" s="8">
        <f>IF(F30&lt;&gt;"",F30,IF(E30&lt;&gt;"",E30,""))</f>
        <v/>
      </c>
      <c r="K30" s="3" t="s">
        <v>42</v>
      </c>
      <c r="L30" s="3" t="s">
        <v>145</v>
      </c>
      <c r="M30" s="3" t="s">
        <v>44</v>
      </c>
      <c r="N30" s="3" t="s">
        <v>44</v>
      </c>
      <c r="O30" s="3" t="s">
        <v>146</v>
      </c>
      <c r="P30" s="3"/>
    </row>
    <row r="31" spans="1:16">
      <c r="A31" s="6" t="s">
        <v>147</v>
      </c>
      <c r="B31" s="6" t="s">
        <v>109</v>
      </c>
      <c r="C31" s="6" t="s">
        <v>148</v>
      </c>
      <c r="D31" s="6" t="s">
        <v>41</v>
      </c>
      <c r="I31" s="9">
        <f>IF(G31="","",G31+IF(H31="",0,H31))</f>
        <v/>
      </c>
      <c r="J31" s="9">
        <f>IF(F31&lt;&gt;"",F31,IF(E31&lt;&gt;"",E31,""))</f>
        <v/>
      </c>
      <c r="K31" s="6" t="s">
        <v>42</v>
      </c>
      <c r="L31" s="6" t="s">
        <v>149</v>
      </c>
      <c r="M31" s="6" t="s">
        <v>44</v>
      </c>
      <c r="N31" s="6" t="s">
        <v>44</v>
      </c>
      <c r="O31" s="6" t="s">
        <v>150</v>
      </c>
      <c r="P31" s="6"/>
    </row>
    <row r="32" spans="1:16">
      <c r="A32" s="3" t="s">
        <v>151</v>
      </c>
      <c r="B32" s="3" t="s">
        <v>109</v>
      </c>
      <c r="C32" s="3" t="s">
        <v>152</v>
      </c>
      <c r="D32" s="3" t="s">
        <v>41</v>
      </c>
      <c r="I32" s="8">
        <f>IF(G32="","",G32+IF(H32="",0,H32))</f>
        <v/>
      </c>
      <c r="J32" s="8">
        <f>IF(F32&lt;&gt;"",F32,IF(E32&lt;&gt;"",E32,""))</f>
        <v/>
      </c>
      <c r="K32" s="3" t="s">
        <v>42</v>
      </c>
      <c r="L32" s="3" t="s">
        <v>153</v>
      </c>
      <c r="M32" s="3" t="s">
        <v>44</v>
      </c>
      <c r="N32" s="3" t="s">
        <v>44</v>
      </c>
      <c r="O32" s="3" t="s">
        <v>154</v>
      </c>
      <c r="P32" s="3"/>
    </row>
    <row r="33" spans="1:16">
      <c r="A33" s="6" t="s">
        <v>155</v>
      </c>
      <c r="B33" s="6" t="s">
        <v>109</v>
      </c>
      <c r="C33" s="6" t="s">
        <v>156</v>
      </c>
      <c r="D33" s="6" t="s">
        <v>41</v>
      </c>
      <c r="I33" s="9">
        <f>IF(G33="","",G33+IF(H33="",0,H33))</f>
        <v/>
      </c>
      <c r="J33" s="9">
        <f>IF(F33&lt;&gt;"",F33,IF(E33&lt;&gt;"",E33,""))</f>
        <v/>
      </c>
      <c r="K33" s="6" t="s">
        <v>42</v>
      </c>
      <c r="L33" s="6" t="s">
        <v>153</v>
      </c>
      <c r="M33" s="6" t="s">
        <v>44</v>
      </c>
      <c r="N33" s="6" t="s">
        <v>44</v>
      </c>
      <c r="O33" s="6" t="s">
        <v>157</v>
      </c>
      <c r="P33" s="6"/>
    </row>
    <row r="34" spans="1:16">
      <c r="A34" s="3" t="s">
        <v>158</v>
      </c>
      <c r="B34" s="3" t="s">
        <v>109</v>
      </c>
      <c r="C34" s="3" t="s">
        <v>159</v>
      </c>
      <c r="D34" s="3" t="s">
        <v>41</v>
      </c>
      <c r="I34" s="8">
        <f>IF(G34="","",G34+IF(H34="",0,H34))</f>
        <v/>
      </c>
      <c r="J34" s="8">
        <f>IF(F34&lt;&gt;"",F34,IF(E34&lt;&gt;"",E34,""))</f>
        <v/>
      </c>
      <c r="K34" s="3" t="s">
        <v>42</v>
      </c>
      <c r="L34" s="3" t="s">
        <v>160</v>
      </c>
      <c r="M34" s="3" t="s">
        <v>44</v>
      </c>
      <c r="N34" s="3" t="s">
        <v>44</v>
      </c>
      <c r="O34" s="3" t="s">
        <v>161</v>
      </c>
      <c r="P34" s="3"/>
    </row>
    <row r="35" spans="1:16">
      <c r="A35" s="6" t="s">
        <v>162</v>
      </c>
      <c r="B35" s="6" t="s">
        <v>109</v>
      </c>
      <c r="C35" s="6" t="s">
        <v>163</v>
      </c>
      <c r="D35" s="6" t="s">
        <v>41</v>
      </c>
      <c r="I35" s="9">
        <f>IF(G35="","",G35+IF(H35="",0,H35))</f>
        <v/>
      </c>
      <c r="J35" s="9">
        <f>IF(F35&lt;&gt;"",F35,IF(E35&lt;&gt;"",E35,""))</f>
        <v/>
      </c>
      <c r="K35" s="6" t="s">
        <v>42</v>
      </c>
      <c r="L35" s="6" t="s">
        <v>164</v>
      </c>
      <c r="M35" s="6" t="s">
        <v>44</v>
      </c>
      <c r="N35" s="6" t="s">
        <v>44</v>
      </c>
      <c r="O35" s="6" t="s">
        <v>165</v>
      </c>
      <c r="P35" s="6"/>
    </row>
  </sheetData>
  <autoFilter ref="A1:P35"/>
  <conditionalFormatting sqref="D2:D35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02A3F"/>
  </sheetPr>
  <dimension ref="A1:P4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166</v>
      </c>
      <c r="B2" s="3" t="s">
        <v>39</v>
      </c>
      <c r="C2" s="3" t="s">
        <v>167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42</v>
      </c>
      <c r="L2" s="3" t="s">
        <v>168</v>
      </c>
      <c r="M2" s="3" t="s">
        <v>44</v>
      </c>
      <c r="N2" s="3" t="s">
        <v>44</v>
      </c>
      <c r="O2" s="3" t="s">
        <v>169</v>
      </c>
      <c r="P2" s="3"/>
    </row>
    <row r="3" spans="1:16">
      <c r="A3" s="6" t="s">
        <v>170</v>
      </c>
      <c r="B3" s="6" t="s">
        <v>39</v>
      </c>
      <c r="C3" s="6" t="s">
        <v>171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168</v>
      </c>
      <c r="M3" s="6" t="s">
        <v>44</v>
      </c>
      <c r="N3" s="6" t="s">
        <v>44</v>
      </c>
      <c r="O3" s="6" t="s">
        <v>172</v>
      </c>
      <c r="P3" s="6"/>
    </row>
    <row r="4" spans="1:16">
      <c r="A4" s="3" t="s">
        <v>173</v>
      </c>
      <c r="B4" s="3" t="s">
        <v>39</v>
      </c>
      <c r="C4" s="3" t="s">
        <v>174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175</v>
      </c>
      <c r="M4" s="3" t="s">
        <v>44</v>
      </c>
      <c r="N4" s="3" t="s">
        <v>44</v>
      </c>
      <c r="O4" s="3" t="s">
        <v>176</v>
      </c>
      <c r="P4" s="3"/>
    </row>
    <row r="5" spans="1:16">
      <c r="A5" s="6" t="s">
        <v>177</v>
      </c>
      <c r="B5" s="6" t="s">
        <v>39</v>
      </c>
      <c r="C5" s="6" t="s">
        <v>178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179</v>
      </c>
      <c r="M5" s="6" t="s">
        <v>44</v>
      </c>
      <c r="N5" s="6" t="s">
        <v>44</v>
      </c>
      <c r="O5" s="6" t="s">
        <v>180</v>
      </c>
      <c r="P5" s="6"/>
    </row>
    <row r="6" spans="1:16">
      <c r="A6" s="3" t="s">
        <v>181</v>
      </c>
      <c r="B6" s="3" t="s">
        <v>39</v>
      </c>
      <c r="C6" s="3" t="s">
        <v>182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179</v>
      </c>
      <c r="M6" s="3" t="s">
        <v>44</v>
      </c>
      <c r="N6" s="3" t="s">
        <v>44</v>
      </c>
      <c r="O6" s="3" t="s">
        <v>183</v>
      </c>
      <c r="P6" s="3"/>
    </row>
    <row r="7" spans="1:16">
      <c r="A7" s="6" t="s">
        <v>184</v>
      </c>
      <c r="B7" s="6" t="s">
        <v>39</v>
      </c>
      <c r="C7" s="6" t="s">
        <v>185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179</v>
      </c>
      <c r="M7" s="6" t="s">
        <v>44</v>
      </c>
      <c r="N7" s="6" t="s">
        <v>44</v>
      </c>
      <c r="O7" s="6" t="s">
        <v>186</v>
      </c>
      <c r="P7" s="6"/>
    </row>
    <row r="8" spans="1:16">
      <c r="A8" s="3" t="s">
        <v>187</v>
      </c>
      <c r="B8" s="3" t="s">
        <v>39</v>
      </c>
      <c r="C8" s="3" t="s">
        <v>188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189</v>
      </c>
      <c r="M8" s="3" t="s">
        <v>44</v>
      </c>
      <c r="N8" s="3" t="s">
        <v>44</v>
      </c>
      <c r="O8" s="3" t="s">
        <v>190</v>
      </c>
      <c r="P8" s="3"/>
    </row>
    <row r="9" spans="1:16">
      <c r="A9" s="6" t="s">
        <v>191</v>
      </c>
      <c r="B9" s="6" t="s">
        <v>39</v>
      </c>
      <c r="C9" s="6" t="s">
        <v>192</v>
      </c>
      <c r="D9" s="6" t="s">
        <v>41</v>
      </c>
      <c r="I9" s="9">
        <f>IF(G9="","",G9+IF(H9="",0,H9))</f>
        <v/>
      </c>
      <c r="J9" s="9">
        <f>IF(F9&lt;&gt;"",F9,IF(E9&lt;&gt;"",E9,""))</f>
        <v/>
      </c>
      <c r="K9" s="6" t="s">
        <v>42</v>
      </c>
      <c r="L9" s="6" t="s">
        <v>193</v>
      </c>
      <c r="M9" s="6" t="s">
        <v>44</v>
      </c>
      <c r="N9" s="6" t="s">
        <v>44</v>
      </c>
      <c r="O9" s="6" t="s">
        <v>194</v>
      </c>
      <c r="P9" s="6"/>
    </row>
    <row r="10" spans="1:16">
      <c r="A10" s="3" t="s">
        <v>195</v>
      </c>
      <c r="B10" s="3" t="s">
        <v>39</v>
      </c>
      <c r="C10" s="3" t="s">
        <v>196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193</v>
      </c>
      <c r="M10" s="3" t="s">
        <v>44</v>
      </c>
      <c r="N10" s="3" t="s">
        <v>44</v>
      </c>
      <c r="O10" s="3" t="s">
        <v>197</v>
      </c>
      <c r="P10" s="3"/>
    </row>
    <row r="11" spans="1:16">
      <c r="A11" s="6" t="s">
        <v>198</v>
      </c>
      <c r="B11" s="6" t="s">
        <v>39</v>
      </c>
      <c r="C11" s="6" t="s">
        <v>199</v>
      </c>
      <c r="D11" s="6" t="s">
        <v>41</v>
      </c>
      <c r="I11" s="9">
        <f>IF(G11="","",G11+IF(H11="",0,H11))</f>
        <v/>
      </c>
      <c r="J11" s="9">
        <f>IF(F11&lt;&gt;"",F11,IF(E11&lt;&gt;"",E11,""))</f>
        <v/>
      </c>
      <c r="K11" s="6" t="s">
        <v>42</v>
      </c>
      <c r="L11" s="6" t="s">
        <v>200</v>
      </c>
      <c r="M11" s="6" t="s">
        <v>44</v>
      </c>
      <c r="N11" s="6" t="s">
        <v>44</v>
      </c>
      <c r="O11" s="6" t="s">
        <v>201</v>
      </c>
      <c r="P11" s="6"/>
    </row>
    <row r="12" spans="1:16">
      <c r="A12" s="3" t="s">
        <v>202</v>
      </c>
      <c r="B12" s="3" t="s">
        <v>39</v>
      </c>
      <c r="C12" s="3" t="s">
        <v>203</v>
      </c>
      <c r="D12" s="3" t="s">
        <v>41</v>
      </c>
      <c r="I12" s="8">
        <f>IF(G12="","",G12+IF(H12="",0,H12))</f>
        <v/>
      </c>
      <c r="J12" s="8">
        <f>IF(F12&lt;&gt;"",F12,IF(E12&lt;&gt;"",E12,""))</f>
        <v/>
      </c>
      <c r="K12" s="3" t="s">
        <v>42</v>
      </c>
      <c r="L12" s="3" t="s">
        <v>200</v>
      </c>
      <c r="M12" s="3" t="s">
        <v>44</v>
      </c>
      <c r="N12" s="3" t="s">
        <v>44</v>
      </c>
      <c r="O12" s="3" t="s">
        <v>204</v>
      </c>
      <c r="P12" s="3"/>
    </row>
    <row r="13" spans="1:16">
      <c r="A13" s="6" t="s">
        <v>205</v>
      </c>
      <c r="B13" s="6" t="s">
        <v>39</v>
      </c>
      <c r="C13" s="6" t="s">
        <v>206</v>
      </c>
      <c r="D13" s="6" t="s">
        <v>41</v>
      </c>
      <c r="I13" s="9">
        <f>IF(G13="","",G13+IF(H13="",0,H13))</f>
        <v/>
      </c>
      <c r="J13" s="9">
        <f>IF(F13&lt;&gt;"",F13,IF(E13&lt;&gt;"",E13,""))</f>
        <v/>
      </c>
      <c r="K13" s="6" t="s">
        <v>42</v>
      </c>
      <c r="L13" s="6" t="s">
        <v>200</v>
      </c>
      <c r="M13" s="6" t="s">
        <v>44</v>
      </c>
      <c r="N13" s="6" t="s">
        <v>44</v>
      </c>
      <c r="O13" s="6" t="s">
        <v>207</v>
      </c>
      <c r="P13" s="6"/>
    </row>
    <row r="14" spans="1:16">
      <c r="A14" s="3" t="s">
        <v>208</v>
      </c>
      <c r="B14" s="3" t="s">
        <v>39</v>
      </c>
      <c r="C14" s="3" t="s">
        <v>209</v>
      </c>
      <c r="D14" s="3" t="s">
        <v>41</v>
      </c>
      <c r="I14" s="8">
        <f>IF(G14="","",G14+IF(H14="",0,H14))</f>
        <v/>
      </c>
      <c r="J14" s="8">
        <f>IF(F14&lt;&gt;"",F14,IF(E14&lt;&gt;"",E14,""))</f>
        <v/>
      </c>
      <c r="K14" s="3" t="s">
        <v>42</v>
      </c>
      <c r="L14" s="3" t="s">
        <v>200</v>
      </c>
      <c r="M14" s="3" t="s">
        <v>44</v>
      </c>
      <c r="N14" s="3" t="s">
        <v>44</v>
      </c>
      <c r="O14" s="3" t="s">
        <v>210</v>
      </c>
      <c r="P14" s="3"/>
    </row>
    <row r="15" spans="1:16">
      <c r="A15" s="6" t="s">
        <v>211</v>
      </c>
      <c r="B15" s="6" t="s">
        <v>39</v>
      </c>
      <c r="C15" s="6" t="s">
        <v>212</v>
      </c>
      <c r="D15" s="6" t="s">
        <v>41</v>
      </c>
      <c r="I15" s="9">
        <f>IF(G15="","",G15+IF(H15="",0,H15))</f>
        <v/>
      </c>
      <c r="J15" s="9">
        <f>IF(F15&lt;&gt;"",F15,IF(E15&lt;&gt;"",E15,""))</f>
        <v/>
      </c>
      <c r="K15" s="6" t="s">
        <v>42</v>
      </c>
      <c r="L15" s="6" t="s">
        <v>179</v>
      </c>
      <c r="M15" s="6" t="s">
        <v>44</v>
      </c>
      <c r="N15" s="6" t="s">
        <v>44</v>
      </c>
      <c r="O15" s="6" t="s">
        <v>213</v>
      </c>
      <c r="P15" s="6"/>
    </row>
    <row r="16" spans="1:16">
      <c r="A16" s="3" t="s">
        <v>214</v>
      </c>
      <c r="B16" s="3" t="s">
        <v>39</v>
      </c>
      <c r="C16" s="3" t="s">
        <v>215</v>
      </c>
      <c r="D16" s="3" t="s">
        <v>41</v>
      </c>
      <c r="I16" s="8">
        <f>IF(G16="","",G16+IF(H16="",0,H16))</f>
        <v/>
      </c>
      <c r="J16" s="8">
        <f>IF(F16&lt;&gt;"",F16,IF(E16&lt;&gt;"",E16,""))</f>
        <v/>
      </c>
      <c r="K16" s="3" t="s">
        <v>42</v>
      </c>
      <c r="L16" s="3" t="s">
        <v>216</v>
      </c>
      <c r="M16" s="3" t="s">
        <v>44</v>
      </c>
      <c r="N16" s="3" t="s">
        <v>44</v>
      </c>
      <c r="O16" s="3" t="s">
        <v>217</v>
      </c>
      <c r="P16" s="3"/>
    </row>
    <row r="17" spans="1:16">
      <c r="A17" s="6" t="s">
        <v>218</v>
      </c>
      <c r="B17" s="6" t="s">
        <v>39</v>
      </c>
      <c r="C17" s="6" t="s">
        <v>219</v>
      </c>
      <c r="D17" s="6" t="s">
        <v>41</v>
      </c>
      <c r="I17" s="9">
        <f>IF(G17="","",G17+IF(H17="",0,H17))</f>
        <v/>
      </c>
      <c r="J17" s="9">
        <f>IF(F17&lt;&gt;"",F17,IF(E17&lt;&gt;"",E17,""))</f>
        <v/>
      </c>
      <c r="K17" s="6" t="s">
        <v>42</v>
      </c>
      <c r="L17" s="6" t="s">
        <v>193</v>
      </c>
      <c r="M17" s="6" t="s">
        <v>44</v>
      </c>
      <c r="N17" s="6" t="s">
        <v>44</v>
      </c>
      <c r="O17" s="6" t="s">
        <v>220</v>
      </c>
      <c r="P17" s="6"/>
    </row>
    <row r="18" spans="1:16">
      <c r="A18" s="3" t="s">
        <v>221</v>
      </c>
      <c r="B18" s="3" t="s">
        <v>39</v>
      </c>
      <c r="C18" s="3" t="s">
        <v>222</v>
      </c>
      <c r="D18" s="3" t="s">
        <v>41</v>
      </c>
      <c r="I18" s="8">
        <f>IF(G18="","",G18+IF(H18="",0,H18))</f>
        <v/>
      </c>
      <c r="J18" s="8">
        <f>IF(F18&lt;&gt;"",F18,IF(E18&lt;&gt;"",E18,""))</f>
        <v/>
      </c>
      <c r="K18" s="3" t="s">
        <v>42</v>
      </c>
      <c r="L18" s="3" t="s">
        <v>200</v>
      </c>
      <c r="M18" s="3" t="s">
        <v>44</v>
      </c>
      <c r="N18" s="3" t="s">
        <v>44</v>
      </c>
      <c r="O18" s="3" t="s">
        <v>223</v>
      </c>
      <c r="P18" s="3"/>
    </row>
    <row r="19" spans="1:16">
      <c r="A19" s="6" t="s">
        <v>224</v>
      </c>
      <c r="B19" s="6" t="s">
        <v>39</v>
      </c>
      <c r="C19" s="6" t="s">
        <v>225</v>
      </c>
      <c r="D19" s="6" t="s">
        <v>41</v>
      </c>
      <c r="I19" s="9">
        <f>IF(G19="","",G19+IF(H19="",0,H19))</f>
        <v/>
      </c>
      <c r="J19" s="9">
        <f>IF(F19&lt;&gt;"",F19,IF(E19&lt;&gt;"",E19,""))</f>
        <v/>
      </c>
      <c r="K19" s="6" t="s">
        <v>42</v>
      </c>
      <c r="L19" s="6" t="s">
        <v>200</v>
      </c>
      <c r="M19" s="6" t="s">
        <v>44</v>
      </c>
      <c r="N19" s="6" t="s">
        <v>44</v>
      </c>
      <c r="O19" s="6" t="s">
        <v>226</v>
      </c>
      <c r="P19" s="6"/>
    </row>
    <row r="20" spans="1:16">
      <c r="A20" s="3" t="s">
        <v>227</v>
      </c>
      <c r="B20" s="3" t="s">
        <v>39</v>
      </c>
      <c r="C20" s="3" t="s">
        <v>228</v>
      </c>
      <c r="D20" s="3" t="s">
        <v>41</v>
      </c>
      <c r="I20" s="8">
        <f>IF(G20="","",G20+IF(H20="",0,H20))</f>
        <v/>
      </c>
      <c r="J20" s="8">
        <f>IF(F20&lt;&gt;"",F20,IF(E20&lt;&gt;"",E20,""))</f>
        <v/>
      </c>
      <c r="K20" s="3" t="s">
        <v>42</v>
      </c>
      <c r="L20" s="3" t="s">
        <v>229</v>
      </c>
      <c r="M20" s="3" t="s">
        <v>44</v>
      </c>
      <c r="N20" s="3" t="s">
        <v>44</v>
      </c>
      <c r="O20" s="3" t="s">
        <v>230</v>
      </c>
      <c r="P20" s="3"/>
    </row>
    <row r="21" spans="1:16">
      <c r="A21" s="6" t="s">
        <v>231</v>
      </c>
      <c r="B21" s="6" t="s">
        <v>39</v>
      </c>
      <c r="C21" s="6" t="s">
        <v>232</v>
      </c>
      <c r="D21" s="6" t="s">
        <v>41</v>
      </c>
      <c r="I21" s="9">
        <f>IF(G21="","",G21+IF(H21="",0,H21))</f>
        <v/>
      </c>
      <c r="J21" s="9">
        <f>IF(F21&lt;&gt;"",F21,IF(E21&lt;&gt;"",E21,""))</f>
        <v/>
      </c>
      <c r="K21" s="6" t="s">
        <v>42</v>
      </c>
      <c r="L21" s="6" t="s">
        <v>233</v>
      </c>
      <c r="M21" s="6" t="s">
        <v>44</v>
      </c>
      <c r="N21" s="6" t="s">
        <v>44</v>
      </c>
      <c r="O21" s="6" t="s">
        <v>234</v>
      </c>
      <c r="P21" s="6"/>
    </row>
    <row r="22" spans="1:16">
      <c r="A22" s="3" t="s">
        <v>235</v>
      </c>
      <c r="B22" s="3" t="s">
        <v>39</v>
      </c>
      <c r="C22" s="3" t="s">
        <v>236</v>
      </c>
      <c r="D22" s="3" t="s">
        <v>41</v>
      </c>
      <c r="I22" s="8">
        <f>IF(G22="","",G22+IF(H22="",0,H22))</f>
        <v/>
      </c>
      <c r="J22" s="8">
        <f>IF(F22&lt;&gt;"",F22,IF(E22&lt;&gt;"",E22,""))</f>
        <v/>
      </c>
      <c r="K22" s="3" t="s">
        <v>42</v>
      </c>
      <c r="L22" s="3" t="s">
        <v>216</v>
      </c>
      <c r="M22" s="3" t="s">
        <v>44</v>
      </c>
      <c r="N22" s="3" t="s">
        <v>44</v>
      </c>
      <c r="O22" s="3" t="s">
        <v>237</v>
      </c>
      <c r="P22" s="3"/>
    </row>
    <row r="23" spans="1:16">
      <c r="A23" s="6" t="s">
        <v>238</v>
      </c>
      <c r="B23" s="6" t="s">
        <v>39</v>
      </c>
      <c r="C23" s="6" t="s">
        <v>239</v>
      </c>
      <c r="D23" s="6" t="s">
        <v>41</v>
      </c>
      <c r="I23" s="9">
        <f>IF(G23="","",G23+IF(H23="",0,H23))</f>
        <v/>
      </c>
      <c r="J23" s="9">
        <f>IF(F23&lt;&gt;"",F23,IF(E23&lt;&gt;"",E23,""))</f>
        <v/>
      </c>
      <c r="K23" s="6" t="s">
        <v>42</v>
      </c>
      <c r="L23" s="6" t="s">
        <v>200</v>
      </c>
      <c r="M23" s="6" t="s">
        <v>44</v>
      </c>
      <c r="N23" s="6" t="s">
        <v>44</v>
      </c>
      <c r="O23" s="6" t="s">
        <v>240</v>
      </c>
      <c r="P23" s="6"/>
    </row>
    <row r="24" spans="1:16">
      <c r="A24" s="3" t="s">
        <v>241</v>
      </c>
      <c r="B24" s="3" t="s">
        <v>39</v>
      </c>
      <c r="C24" s="3" t="s">
        <v>242</v>
      </c>
      <c r="D24" s="3" t="s">
        <v>41</v>
      </c>
      <c r="I24" s="8">
        <f>IF(G24="","",G24+IF(H24="",0,H24))</f>
        <v/>
      </c>
      <c r="J24" s="8">
        <f>IF(F24&lt;&gt;"",F24,IF(E24&lt;&gt;"",E24,""))</f>
        <v/>
      </c>
      <c r="K24" s="3" t="s">
        <v>42</v>
      </c>
      <c r="L24" s="3" t="s">
        <v>200</v>
      </c>
      <c r="M24" s="3" t="s">
        <v>44</v>
      </c>
      <c r="N24" s="3" t="s">
        <v>44</v>
      </c>
      <c r="O24" s="3" t="s">
        <v>243</v>
      </c>
      <c r="P24" s="3"/>
    </row>
    <row r="25" spans="1:16">
      <c r="A25" s="6" t="s">
        <v>244</v>
      </c>
      <c r="B25" s="6" t="s">
        <v>245</v>
      </c>
      <c r="C25" s="6" t="s">
        <v>246</v>
      </c>
      <c r="D25" s="6" t="s">
        <v>41</v>
      </c>
      <c r="I25" s="9">
        <f>IF(G25="","",G25+IF(H25="",0,H25))</f>
        <v/>
      </c>
      <c r="J25" s="9">
        <f>IF(F25&lt;&gt;"",F25,IF(E25&lt;&gt;"",E25,""))</f>
        <v/>
      </c>
      <c r="K25" s="6" t="s">
        <v>42</v>
      </c>
      <c r="L25" s="6" t="s">
        <v>247</v>
      </c>
      <c r="M25" s="6" t="s">
        <v>44</v>
      </c>
      <c r="N25" s="6" t="s">
        <v>44</v>
      </c>
      <c r="O25" s="6" t="s">
        <v>248</v>
      </c>
      <c r="P25" s="6" t="s">
        <v>249</v>
      </c>
    </row>
    <row r="26" spans="1:16">
      <c r="A26" s="3" t="s">
        <v>250</v>
      </c>
      <c r="B26" s="3" t="s">
        <v>251</v>
      </c>
      <c r="C26" s="3" t="s">
        <v>252</v>
      </c>
      <c r="D26" s="3" t="s">
        <v>41</v>
      </c>
      <c r="I26" s="8">
        <f>IF(G26="","",G26+IF(H26="",0,H26))</f>
        <v/>
      </c>
      <c r="J26" s="8">
        <f>IF(F26&lt;&gt;"",F26,IF(E26&lt;&gt;"",E26,""))</f>
        <v/>
      </c>
      <c r="K26" s="3" t="s">
        <v>42</v>
      </c>
      <c r="L26" s="3" t="s">
        <v>168</v>
      </c>
      <c r="M26" s="3" t="s">
        <v>44</v>
      </c>
      <c r="N26" s="3" t="s">
        <v>44</v>
      </c>
      <c r="O26" s="3" t="s">
        <v>253</v>
      </c>
      <c r="P26" s="3"/>
    </row>
    <row r="27" spans="1:16">
      <c r="A27" s="6" t="s">
        <v>254</v>
      </c>
      <c r="B27" s="6" t="s">
        <v>251</v>
      </c>
      <c r="C27" s="6" t="s">
        <v>255</v>
      </c>
      <c r="D27" s="6" t="s">
        <v>41</v>
      </c>
      <c r="I27" s="9">
        <f>IF(G27="","",G27+IF(H27="",0,H27))</f>
        <v/>
      </c>
      <c r="J27" s="9">
        <f>IF(F27&lt;&gt;"",F27,IF(E27&lt;&gt;"",E27,""))</f>
        <v/>
      </c>
      <c r="K27" s="6" t="s">
        <v>42</v>
      </c>
      <c r="L27" s="6" t="s">
        <v>168</v>
      </c>
      <c r="M27" s="6" t="s">
        <v>44</v>
      </c>
      <c r="N27" s="6" t="s">
        <v>44</v>
      </c>
      <c r="O27" s="6" t="s">
        <v>256</v>
      </c>
      <c r="P27" s="6"/>
    </row>
    <row r="28" spans="1:16">
      <c r="A28" s="3" t="s">
        <v>257</v>
      </c>
      <c r="B28" s="3" t="s">
        <v>251</v>
      </c>
      <c r="C28" s="3" t="s">
        <v>258</v>
      </c>
      <c r="D28" s="3" t="s">
        <v>41</v>
      </c>
      <c r="I28" s="8">
        <f>IF(G28="","",G28+IF(H28="",0,H28))</f>
        <v/>
      </c>
      <c r="J28" s="8">
        <f>IF(F28&lt;&gt;"",F28,IF(E28&lt;&gt;"",E28,""))</f>
        <v/>
      </c>
      <c r="K28" s="3" t="s">
        <v>42</v>
      </c>
      <c r="L28" s="3" t="s">
        <v>168</v>
      </c>
      <c r="M28" s="3" t="s">
        <v>44</v>
      </c>
      <c r="N28" s="3" t="s">
        <v>44</v>
      </c>
      <c r="O28" s="3" t="s">
        <v>259</v>
      </c>
      <c r="P28" s="3"/>
    </row>
    <row r="29" spans="1:16">
      <c r="A29" s="6" t="s">
        <v>260</v>
      </c>
      <c r="B29" s="6" t="s">
        <v>251</v>
      </c>
      <c r="C29" s="6" t="s">
        <v>261</v>
      </c>
      <c r="D29" s="6" t="s">
        <v>41</v>
      </c>
      <c r="I29" s="9">
        <f>IF(G29="","",G29+IF(H29="",0,H29))</f>
        <v/>
      </c>
      <c r="J29" s="9">
        <f>IF(F29&lt;&gt;"",F29,IF(E29&lt;&gt;"",E29,""))</f>
        <v/>
      </c>
      <c r="K29" s="6" t="s">
        <v>42</v>
      </c>
      <c r="L29" s="6" t="s">
        <v>168</v>
      </c>
      <c r="M29" s="6" t="s">
        <v>44</v>
      </c>
      <c r="N29" s="6" t="s">
        <v>44</v>
      </c>
      <c r="O29" s="6" t="s">
        <v>262</v>
      </c>
      <c r="P29" s="6"/>
    </row>
    <row r="30" spans="1:16">
      <c r="A30" s="3" t="s">
        <v>263</v>
      </c>
      <c r="B30" s="3" t="s">
        <v>251</v>
      </c>
      <c r="C30" s="3" t="s">
        <v>264</v>
      </c>
      <c r="D30" s="3" t="s">
        <v>41</v>
      </c>
      <c r="I30" s="8">
        <f>IF(G30="","",G30+IF(H30="",0,H30))</f>
        <v/>
      </c>
      <c r="J30" s="8">
        <f>IF(F30&lt;&gt;"",F30,IF(E30&lt;&gt;"",E30,""))</f>
        <v/>
      </c>
      <c r="K30" s="3" t="s">
        <v>42</v>
      </c>
      <c r="L30" s="3" t="s">
        <v>168</v>
      </c>
      <c r="M30" s="3" t="s">
        <v>44</v>
      </c>
      <c r="N30" s="3" t="s">
        <v>44</v>
      </c>
      <c r="O30" s="3" t="s">
        <v>265</v>
      </c>
      <c r="P30" s="3"/>
    </row>
    <row r="31" spans="1:16">
      <c r="A31" s="6" t="s">
        <v>266</v>
      </c>
      <c r="B31" s="6" t="s">
        <v>251</v>
      </c>
      <c r="C31" s="6" t="s">
        <v>267</v>
      </c>
      <c r="D31" s="6" t="s">
        <v>41</v>
      </c>
      <c r="I31" s="9">
        <f>IF(G31="","",G31+IF(H31="",0,H31))</f>
        <v/>
      </c>
      <c r="J31" s="9">
        <f>IF(F31&lt;&gt;"",F31,IF(E31&lt;&gt;"",E31,""))</f>
        <v/>
      </c>
      <c r="K31" s="6" t="s">
        <v>42</v>
      </c>
      <c r="L31" s="6" t="s">
        <v>268</v>
      </c>
      <c r="M31" s="6" t="s">
        <v>44</v>
      </c>
      <c r="N31" s="6" t="s">
        <v>44</v>
      </c>
      <c r="O31" s="6" t="s">
        <v>269</v>
      </c>
      <c r="P31" s="6"/>
    </row>
    <row r="32" spans="1:16">
      <c r="A32" s="3" t="s">
        <v>270</v>
      </c>
      <c r="B32" s="3" t="s">
        <v>251</v>
      </c>
      <c r="C32" s="3" t="s">
        <v>271</v>
      </c>
      <c r="D32" s="3" t="s">
        <v>41</v>
      </c>
      <c r="I32" s="8">
        <f>IF(G32="","",G32+IF(H32="",0,H32))</f>
        <v/>
      </c>
      <c r="J32" s="8">
        <f>IF(F32&lt;&gt;"",F32,IF(E32&lt;&gt;"",E32,""))</f>
        <v/>
      </c>
      <c r="K32" s="3" t="s">
        <v>42</v>
      </c>
      <c r="L32" s="3" t="s">
        <v>193</v>
      </c>
      <c r="M32" s="3" t="s">
        <v>44</v>
      </c>
      <c r="N32" s="3" t="s">
        <v>44</v>
      </c>
      <c r="O32" s="3" t="s">
        <v>272</v>
      </c>
      <c r="P32" s="3"/>
    </row>
    <row r="33" spans="1:16">
      <c r="A33" s="6" t="s">
        <v>273</v>
      </c>
      <c r="B33" s="6" t="s">
        <v>251</v>
      </c>
      <c r="C33" s="6" t="s">
        <v>274</v>
      </c>
      <c r="D33" s="6" t="s">
        <v>41</v>
      </c>
      <c r="I33" s="9">
        <f>IF(G33="","",G33+IF(H33="",0,H33))</f>
        <v/>
      </c>
      <c r="J33" s="9">
        <f>IF(F33&lt;&gt;"",F33,IF(E33&lt;&gt;"",E33,""))</f>
        <v/>
      </c>
      <c r="K33" s="6" t="s">
        <v>42</v>
      </c>
      <c r="L33" s="6" t="s">
        <v>168</v>
      </c>
      <c r="M33" s="6" t="s">
        <v>44</v>
      </c>
      <c r="N33" s="6" t="s">
        <v>44</v>
      </c>
      <c r="O33" s="6" t="s">
        <v>275</v>
      </c>
      <c r="P33" s="6"/>
    </row>
    <row r="34" spans="1:16">
      <c r="A34" s="3" t="s">
        <v>276</v>
      </c>
      <c r="B34" s="3" t="s">
        <v>251</v>
      </c>
      <c r="C34" s="3" t="s">
        <v>277</v>
      </c>
      <c r="D34" s="3" t="s">
        <v>41</v>
      </c>
      <c r="I34" s="8">
        <f>IF(G34="","",G34+IF(H34="",0,H34))</f>
        <v/>
      </c>
      <c r="J34" s="8">
        <f>IF(F34&lt;&gt;"",F34,IF(E34&lt;&gt;"",E34,""))</f>
        <v/>
      </c>
      <c r="K34" s="3" t="s">
        <v>42</v>
      </c>
      <c r="L34" s="3" t="s">
        <v>168</v>
      </c>
      <c r="M34" s="3" t="s">
        <v>44</v>
      </c>
      <c r="N34" s="3" t="s">
        <v>44</v>
      </c>
      <c r="O34" s="3" t="s">
        <v>278</v>
      </c>
      <c r="P34" s="3"/>
    </row>
    <row r="35" spans="1:16">
      <c r="A35" s="6" t="s">
        <v>279</v>
      </c>
      <c r="B35" s="6" t="s">
        <v>251</v>
      </c>
      <c r="C35" s="6" t="s">
        <v>280</v>
      </c>
      <c r="D35" s="6" t="s">
        <v>41</v>
      </c>
      <c r="I35" s="9">
        <f>IF(G35="","",G35+IF(H35="",0,H35))</f>
        <v/>
      </c>
      <c r="J35" s="9">
        <f>IF(F35&lt;&gt;"",F35,IF(E35&lt;&gt;"",E35,""))</f>
        <v/>
      </c>
      <c r="K35" s="6" t="s">
        <v>42</v>
      </c>
      <c r="L35" s="6" t="s">
        <v>281</v>
      </c>
      <c r="M35" s="6" t="s">
        <v>44</v>
      </c>
      <c r="N35" s="6" t="s">
        <v>44</v>
      </c>
      <c r="O35" s="6" t="s">
        <v>282</v>
      </c>
      <c r="P35" s="6"/>
    </row>
    <row r="36" spans="1:16">
      <c r="A36" s="3" t="s">
        <v>283</v>
      </c>
      <c r="B36" s="3" t="s">
        <v>251</v>
      </c>
      <c r="C36" s="3" t="s">
        <v>284</v>
      </c>
      <c r="D36" s="3" t="s">
        <v>41</v>
      </c>
      <c r="I36" s="8">
        <f>IF(G36="","",G36+IF(H36="",0,H36))</f>
        <v/>
      </c>
      <c r="J36" s="8">
        <f>IF(F36&lt;&gt;"",F36,IF(E36&lt;&gt;"",E36,""))</f>
        <v/>
      </c>
      <c r="K36" s="3" t="s">
        <v>42</v>
      </c>
      <c r="L36" s="3" t="s">
        <v>285</v>
      </c>
      <c r="M36" s="3" t="s">
        <v>44</v>
      </c>
      <c r="N36" s="3" t="s">
        <v>44</v>
      </c>
      <c r="O36" s="3" t="s">
        <v>286</v>
      </c>
      <c r="P36" s="3"/>
    </row>
    <row r="37" spans="1:16">
      <c r="A37" s="6" t="s">
        <v>287</v>
      </c>
      <c r="B37" s="6" t="s">
        <v>251</v>
      </c>
      <c r="C37" s="6" t="s">
        <v>288</v>
      </c>
      <c r="D37" s="6" t="s">
        <v>41</v>
      </c>
      <c r="I37" s="9">
        <f>IF(G37="","",G37+IF(H37="",0,H37))</f>
        <v/>
      </c>
      <c r="J37" s="9">
        <f>IF(F37&lt;&gt;"",F37,IF(E37&lt;&gt;"",E37,""))</f>
        <v/>
      </c>
      <c r="K37" s="6" t="s">
        <v>42</v>
      </c>
      <c r="L37" s="6" t="s">
        <v>289</v>
      </c>
      <c r="M37" s="6" t="s">
        <v>44</v>
      </c>
      <c r="N37" s="6" t="s">
        <v>44</v>
      </c>
      <c r="O37" s="6" t="s">
        <v>290</v>
      </c>
      <c r="P37" s="6"/>
    </row>
    <row r="38" spans="1:16">
      <c r="A38" s="3" t="s">
        <v>291</v>
      </c>
      <c r="B38" s="3" t="s">
        <v>251</v>
      </c>
      <c r="C38" s="3" t="s">
        <v>292</v>
      </c>
      <c r="D38" s="3" t="s">
        <v>41</v>
      </c>
      <c r="I38" s="8">
        <f>IF(G38="","",G38+IF(H38="",0,H38))</f>
        <v/>
      </c>
      <c r="J38" s="8">
        <f>IF(F38&lt;&gt;"",F38,IF(E38&lt;&gt;"",E38,""))</f>
        <v/>
      </c>
      <c r="K38" s="3" t="s">
        <v>42</v>
      </c>
      <c r="L38" s="3" t="s">
        <v>293</v>
      </c>
      <c r="M38" s="3" t="s">
        <v>44</v>
      </c>
      <c r="N38" s="3" t="s">
        <v>44</v>
      </c>
      <c r="O38" s="3" t="s">
        <v>294</v>
      </c>
      <c r="P38" s="3"/>
    </row>
    <row r="39" spans="1:16">
      <c r="A39" s="6" t="s">
        <v>295</v>
      </c>
      <c r="B39" s="6" t="s">
        <v>251</v>
      </c>
      <c r="C39" s="6" t="s">
        <v>296</v>
      </c>
      <c r="D39" s="6" t="s">
        <v>41</v>
      </c>
      <c r="I39" s="9">
        <f>IF(G39="","",G39+IF(H39="",0,H39))</f>
        <v/>
      </c>
      <c r="J39" s="9">
        <f>IF(F39&lt;&gt;"",F39,IF(E39&lt;&gt;"",E39,""))</f>
        <v/>
      </c>
      <c r="K39" s="6" t="s">
        <v>42</v>
      </c>
      <c r="L39" s="6" t="s">
        <v>293</v>
      </c>
      <c r="M39" s="6" t="s">
        <v>44</v>
      </c>
      <c r="N39" s="6" t="s">
        <v>44</v>
      </c>
      <c r="O39" s="6" t="s">
        <v>297</v>
      </c>
      <c r="P39" s="6"/>
    </row>
    <row r="40" spans="1:16">
      <c r="A40" s="3" t="s">
        <v>298</v>
      </c>
      <c r="B40" s="3" t="s">
        <v>251</v>
      </c>
      <c r="C40" s="3" t="s">
        <v>299</v>
      </c>
      <c r="D40" s="3" t="s">
        <v>41</v>
      </c>
      <c r="I40" s="8">
        <f>IF(G40="","",G40+IF(H40="",0,H40))</f>
        <v/>
      </c>
      <c r="J40" s="8">
        <f>IF(F40&lt;&gt;"",F40,IF(E40&lt;&gt;"",E40,""))</f>
        <v/>
      </c>
      <c r="K40" s="3" t="s">
        <v>42</v>
      </c>
      <c r="L40" s="3" t="s">
        <v>216</v>
      </c>
      <c r="M40" s="3" t="s">
        <v>44</v>
      </c>
      <c r="N40" s="3" t="s">
        <v>44</v>
      </c>
      <c r="O40" s="3" t="s">
        <v>300</v>
      </c>
      <c r="P40" s="3"/>
    </row>
    <row r="41" spans="1:16">
      <c r="A41" s="6" t="s">
        <v>301</v>
      </c>
      <c r="B41" s="6" t="s">
        <v>251</v>
      </c>
      <c r="C41" s="6" t="s">
        <v>302</v>
      </c>
      <c r="D41" s="6" t="s">
        <v>41</v>
      </c>
      <c r="I41" s="9">
        <f>IF(G41="","",G41+IF(H41="",0,H41))</f>
        <v/>
      </c>
      <c r="J41" s="9">
        <f>IF(F41&lt;&gt;"",F41,IF(E41&lt;&gt;"",E41,""))</f>
        <v/>
      </c>
      <c r="K41" s="6" t="s">
        <v>42</v>
      </c>
      <c r="L41" s="6" t="s">
        <v>303</v>
      </c>
      <c r="M41" s="6" t="s">
        <v>44</v>
      </c>
      <c r="N41" s="6" t="s">
        <v>44</v>
      </c>
      <c r="O41" s="6" t="s">
        <v>304</v>
      </c>
      <c r="P41" s="6"/>
    </row>
    <row r="42" spans="1:16">
      <c r="A42" s="3" t="s">
        <v>305</v>
      </c>
      <c r="B42" s="3" t="s">
        <v>251</v>
      </c>
      <c r="C42" s="3" t="s">
        <v>306</v>
      </c>
      <c r="D42" s="3" t="s">
        <v>41</v>
      </c>
      <c r="I42" s="8">
        <f>IF(G42="","",G42+IF(H42="",0,H42))</f>
        <v/>
      </c>
      <c r="J42" s="8">
        <f>IF(F42&lt;&gt;"",F42,IF(E42&lt;&gt;"",E42,""))</f>
        <v/>
      </c>
      <c r="K42" s="3" t="s">
        <v>42</v>
      </c>
      <c r="L42" s="3" t="s">
        <v>303</v>
      </c>
      <c r="M42" s="3" t="s">
        <v>44</v>
      </c>
      <c r="N42" s="3" t="s">
        <v>44</v>
      </c>
      <c r="O42" s="3" t="s">
        <v>307</v>
      </c>
      <c r="P42" s="3"/>
    </row>
    <row r="43" spans="1:16">
      <c r="A43" s="6" t="s">
        <v>308</v>
      </c>
      <c r="B43" s="6" t="s">
        <v>251</v>
      </c>
      <c r="C43" s="6" t="s">
        <v>309</v>
      </c>
      <c r="D43" s="6" t="s">
        <v>41</v>
      </c>
      <c r="I43" s="9">
        <f>IF(G43="","",G43+IF(H43="",0,H43))</f>
        <v/>
      </c>
      <c r="J43" s="9">
        <f>IF(F43&lt;&gt;"",F43,IF(E43&lt;&gt;"",E43,""))</f>
        <v/>
      </c>
      <c r="K43" s="6" t="s">
        <v>42</v>
      </c>
      <c r="L43" s="6" t="s">
        <v>303</v>
      </c>
      <c r="M43" s="6" t="s">
        <v>44</v>
      </c>
      <c r="N43" s="6" t="s">
        <v>44</v>
      </c>
      <c r="O43" s="6" t="s">
        <v>310</v>
      </c>
      <c r="P43" s="6"/>
    </row>
    <row r="44" spans="1:16">
      <c r="A44" s="3" t="s">
        <v>311</v>
      </c>
      <c r="B44" s="3" t="s">
        <v>251</v>
      </c>
      <c r="C44" s="3" t="s">
        <v>312</v>
      </c>
      <c r="D44" s="3" t="s">
        <v>41</v>
      </c>
      <c r="I44" s="8">
        <f>IF(G44="","",G44+IF(H44="",0,H44))</f>
        <v/>
      </c>
      <c r="J44" s="8">
        <f>IF(F44&lt;&gt;"",F44,IF(E44&lt;&gt;"",E44,""))</f>
        <v/>
      </c>
      <c r="K44" s="3" t="s">
        <v>42</v>
      </c>
      <c r="L44" s="3" t="s">
        <v>313</v>
      </c>
      <c r="M44" s="3" t="s">
        <v>44</v>
      </c>
      <c r="N44" s="3" t="s">
        <v>44</v>
      </c>
      <c r="O44" s="3" t="s">
        <v>314</v>
      </c>
      <c r="P44" s="3"/>
    </row>
    <row r="45" spans="1:16">
      <c r="A45" s="6" t="s">
        <v>315</v>
      </c>
      <c r="B45" s="6" t="s">
        <v>251</v>
      </c>
      <c r="C45" s="6" t="s">
        <v>316</v>
      </c>
      <c r="D45" s="6" t="s">
        <v>41</v>
      </c>
      <c r="I45" s="9">
        <f>IF(G45="","",G45+IF(H45="",0,H45))</f>
        <v/>
      </c>
      <c r="J45" s="9">
        <f>IF(F45&lt;&gt;"",F45,IF(E45&lt;&gt;"",E45,""))</f>
        <v/>
      </c>
      <c r="K45" s="6" t="s">
        <v>42</v>
      </c>
      <c r="L45" s="6" t="s">
        <v>313</v>
      </c>
      <c r="M45" s="6" t="s">
        <v>44</v>
      </c>
      <c r="N45" s="6" t="s">
        <v>44</v>
      </c>
      <c r="O45" s="6" t="s">
        <v>317</v>
      </c>
      <c r="P45" s="6"/>
    </row>
    <row r="46" spans="1:16">
      <c r="A46" s="3" t="s">
        <v>318</v>
      </c>
      <c r="B46" s="3" t="s">
        <v>251</v>
      </c>
      <c r="C46" s="3" t="s">
        <v>319</v>
      </c>
      <c r="D46" s="3" t="s">
        <v>41</v>
      </c>
      <c r="I46" s="8">
        <f>IF(G46="","",G46+IF(H46="",0,H46))</f>
        <v/>
      </c>
      <c r="J46" s="8">
        <f>IF(F46&lt;&gt;"",F46,IF(E46&lt;&gt;"",E46,""))</f>
        <v/>
      </c>
      <c r="K46" s="3" t="s">
        <v>42</v>
      </c>
      <c r="L46" s="3" t="s">
        <v>313</v>
      </c>
      <c r="M46" s="3" t="s">
        <v>44</v>
      </c>
      <c r="N46" s="3" t="s">
        <v>44</v>
      </c>
      <c r="O46" s="3" t="s">
        <v>320</v>
      </c>
      <c r="P46" s="3"/>
    </row>
    <row r="47" spans="1:16">
      <c r="A47" s="6" t="s">
        <v>321</v>
      </c>
      <c r="B47" s="6" t="s">
        <v>251</v>
      </c>
      <c r="C47" s="6" t="s">
        <v>322</v>
      </c>
      <c r="D47" s="6" t="s">
        <v>41</v>
      </c>
      <c r="I47" s="9">
        <f>IF(G47="","",G47+IF(H47="",0,H47))</f>
        <v/>
      </c>
      <c r="J47" s="9">
        <f>IF(F47&lt;&gt;"",F47,IF(E47&lt;&gt;"",E47,""))</f>
        <v/>
      </c>
      <c r="K47" s="6" t="s">
        <v>42</v>
      </c>
      <c r="L47" s="6" t="s">
        <v>293</v>
      </c>
      <c r="M47" s="6" t="s">
        <v>44</v>
      </c>
      <c r="N47" s="6" t="s">
        <v>44</v>
      </c>
      <c r="O47" s="6" t="s">
        <v>323</v>
      </c>
      <c r="P47" s="6"/>
    </row>
  </sheetData>
  <autoFilter ref="A1:P47"/>
  <conditionalFormatting sqref="D2:D47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02A3F"/>
  </sheetPr>
  <dimension ref="A1:P3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324</v>
      </c>
      <c r="B2" s="3" t="s">
        <v>325</v>
      </c>
      <c r="C2" s="3" t="s">
        <v>326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42</v>
      </c>
      <c r="L2" s="3" t="s">
        <v>327</v>
      </c>
      <c r="M2" s="3" t="s">
        <v>44</v>
      </c>
      <c r="N2" s="3" t="s">
        <v>44</v>
      </c>
      <c r="O2" s="3" t="s">
        <v>328</v>
      </c>
      <c r="P2" s="3"/>
    </row>
    <row r="3" spans="1:16">
      <c r="A3" s="6" t="s">
        <v>329</v>
      </c>
      <c r="B3" s="6" t="s">
        <v>325</v>
      </c>
      <c r="C3" s="6" t="s">
        <v>330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331</v>
      </c>
      <c r="M3" s="6" t="s">
        <v>44</v>
      </c>
      <c r="N3" s="6" t="s">
        <v>44</v>
      </c>
      <c r="O3" s="6" t="s">
        <v>332</v>
      </c>
      <c r="P3" s="6"/>
    </row>
    <row r="4" spans="1:16">
      <c r="A4" s="3" t="s">
        <v>333</v>
      </c>
      <c r="B4" s="3" t="s">
        <v>325</v>
      </c>
      <c r="C4" s="3" t="s">
        <v>334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335</v>
      </c>
      <c r="M4" s="3" t="s">
        <v>44</v>
      </c>
      <c r="N4" s="3" t="s">
        <v>44</v>
      </c>
      <c r="O4" s="3" t="s">
        <v>336</v>
      </c>
      <c r="P4" s="3"/>
    </row>
    <row r="5" spans="1:16">
      <c r="A5" s="6" t="s">
        <v>337</v>
      </c>
      <c r="B5" s="6" t="s">
        <v>325</v>
      </c>
      <c r="C5" s="6" t="s">
        <v>338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339</v>
      </c>
      <c r="M5" s="6" t="s">
        <v>44</v>
      </c>
      <c r="N5" s="6" t="s">
        <v>44</v>
      </c>
      <c r="O5" s="6" t="s">
        <v>340</v>
      </c>
      <c r="P5" s="6"/>
    </row>
    <row r="6" spans="1:16">
      <c r="A6" s="3" t="s">
        <v>341</v>
      </c>
      <c r="B6" s="3" t="s">
        <v>325</v>
      </c>
      <c r="C6" s="3" t="s">
        <v>342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343</v>
      </c>
      <c r="M6" s="3" t="s">
        <v>44</v>
      </c>
      <c r="N6" s="3" t="s">
        <v>44</v>
      </c>
      <c r="O6" s="3" t="s">
        <v>344</v>
      </c>
      <c r="P6" s="3"/>
    </row>
    <row r="7" spans="1:16">
      <c r="A7" s="6" t="s">
        <v>345</v>
      </c>
      <c r="B7" s="6" t="s">
        <v>325</v>
      </c>
      <c r="C7" s="6" t="s">
        <v>346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347</v>
      </c>
      <c r="M7" s="6" t="s">
        <v>44</v>
      </c>
      <c r="N7" s="6" t="s">
        <v>44</v>
      </c>
      <c r="O7" s="6" t="s">
        <v>348</v>
      </c>
      <c r="P7" s="6"/>
    </row>
    <row r="8" spans="1:16">
      <c r="A8" s="3" t="s">
        <v>349</v>
      </c>
      <c r="B8" s="3" t="s">
        <v>350</v>
      </c>
      <c r="C8" s="3" t="s">
        <v>351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352</v>
      </c>
      <c r="M8" s="3" t="s">
        <v>44</v>
      </c>
      <c r="N8" s="3" t="s">
        <v>44</v>
      </c>
      <c r="O8" s="3" t="s">
        <v>353</v>
      </c>
      <c r="P8" s="3"/>
    </row>
    <row r="9" spans="1:16">
      <c r="A9" s="6" t="s">
        <v>354</v>
      </c>
      <c r="B9" s="6" t="s">
        <v>350</v>
      </c>
      <c r="C9" s="6" t="s">
        <v>355</v>
      </c>
      <c r="D9" s="6" t="s">
        <v>41</v>
      </c>
      <c r="I9" s="9">
        <f>IF(G9="","",G9+IF(H9="",0,H9))</f>
        <v/>
      </c>
      <c r="J9" s="9">
        <f>IF(F9&lt;&gt;"",F9,IF(E9&lt;&gt;"",E9,""))</f>
        <v/>
      </c>
      <c r="K9" s="6" t="s">
        <v>42</v>
      </c>
      <c r="L9" s="6" t="s">
        <v>356</v>
      </c>
      <c r="M9" s="6" t="s">
        <v>44</v>
      </c>
      <c r="N9" s="6" t="s">
        <v>44</v>
      </c>
      <c r="O9" s="6" t="s">
        <v>357</v>
      </c>
      <c r="P9" s="6"/>
    </row>
    <row r="10" spans="1:16">
      <c r="A10" s="3" t="s">
        <v>358</v>
      </c>
      <c r="B10" s="3" t="s">
        <v>350</v>
      </c>
      <c r="C10" s="3" t="s">
        <v>359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360</v>
      </c>
      <c r="M10" s="3" t="s">
        <v>44</v>
      </c>
      <c r="N10" s="3" t="s">
        <v>44</v>
      </c>
      <c r="O10" s="3" t="s">
        <v>361</v>
      </c>
      <c r="P10" s="3"/>
    </row>
    <row r="11" spans="1:16">
      <c r="A11" s="6" t="s">
        <v>362</v>
      </c>
      <c r="B11" s="6" t="s">
        <v>350</v>
      </c>
      <c r="C11" s="6" t="s">
        <v>363</v>
      </c>
      <c r="D11" s="6" t="s">
        <v>41</v>
      </c>
      <c r="I11" s="9">
        <f>IF(G11="","",G11+IF(H11="",0,H11))</f>
        <v/>
      </c>
      <c r="J11" s="9">
        <f>IF(F11&lt;&gt;"",F11,IF(E11&lt;&gt;"",E11,""))</f>
        <v/>
      </c>
      <c r="K11" s="6" t="s">
        <v>42</v>
      </c>
      <c r="L11" s="6" t="s">
        <v>356</v>
      </c>
      <c r="M11" s="6" t="s">
        <v>44</v>
      </c>
      <c r="N11" s="6" t="s">
        <v>44</v>
      </c>
      <c r="O11" s="6" t="s">
        <v>364</v>
      </c>
      <c r="P11" s="6"/>
    </row>
    <row r="12" spans="1:16">
      <c r="A12" s="3" t="s">
        <v>365</v>
      </c>
      <c r="B12" s="3" t="s">
        <v>350</v>
      </c>
      <c r="C12" s="3" t="s">
        <v>366</v>
      </c>
      <c r="D12" s="3" t="s">
        <v>41</v>
      </c>
      <c r="I12" s="8">
        <f>IF(G12="","",G12+IF(H12="",0,H12))</f>
        <v/>
      </c>
      <c r="J12" s="8">
        <f>IF(F12&lt;&gt;"",F12,IF(E12&lt;&gt;"",E12,""))</f>
        <v/>
      </c>
      <c r="K12" s="3" t="s">
        <v>42</v>
      </c>
      <c r="L12" s="3" t="s">
        <v>347</v>
      </c>
      <c r="M12" s="3" t="s">
        <v>44</v>
      </c>
      <c r="N12" s="3" t="s">
        <v>44</v>
      </c>
      <c r="O12" s="3" t="s">
        <v>367</v>
      </c>
      <c r="P12" s="3"/>
    </row>
    <row r="13" spans="1:16">
      <c r="A13" s="6" t="s">
        <v>368</v>
      </c>
      <c r="B13" s="6" t="s">
        <v>350</v>
      </c>
      <c r="C13" s="6" t="s">
        <v>369</v>
      </c>
      <c r="D13" s="6" t="s">
        <v>41</v>
      </c>
      <c r="I13" s="9">
        <f>IF(G13="","",G13+IF(H13="",0,H13))</f>
        <v/>
      </c>
      <c r="J13" s="9">
        <f>IF(F13&lt;&gt;"",F13,IF(E13&lt;&gt;"",E13,""))</f>
        <v/>
      </c>
      <c r="K13" s="6" t="s">
        <v>42</v>
      </c>
      <c r="L13" s="6" t="s">
        <v>370</v>
      </c>
      <c r="M13" s="6" t="s">
        <v>44</v>
      </c>
      <c r="N13" s="6" t="s">
        <v>44</v>
      </c>
      <c r="O13" s="6" t="s">
        <v>371</v>
      </c>
      <c r="P13" s="6"/>
    </row>
    <row r="14" spans="1:16">
      <c r="A14" s="3" t="s">
        <v>372</v>
      </c>
      <c r="B14" s="3" t="s">
        <v>350</v>
      </c>
      <c r="C14" s="3" t="s">
        <v>373</v>
      </c>
      <c r="D14" s="3" t="s">
        <v>41</v>
      </c>
      <c r="I14" s="8">
        <f>IF(G14="","",G14+IF(H14="",0,H14))</f>
        <v/>
      </c>
      <c r="J14" s="8">
        <f>IF(F14&lt;&gt;"",F14,IF(E14&lt;&gt;"",E14,""))</f>
        <v/>
      </c>
      <c r="K14" s="3" t="s">
        <v>42</v>
      </c>
      <c r="L14" s="3" t="s">
        <v>327</v>
      </c>
      <c r="M14" s="3" t="s">
        <v>44</v>
      </c>
      <c r="N14" s="3" t="s">
        <v>44</v>
      </c>
      <c r="O14" s="3" t="s">
        <v>374</v>
      </c>
      <c r="P14" s="3"/>
    </row>
    <row r="15" spans="1:16">
      <c r="A15" s="6" t="s">
        <v>375</v>
      </c>
      <c r="B15" s="6" t="s">
        <v>350</v>
      </c>
      <c r="C15" s="6" t="s">
        <v>376</v>
      </c>
      <c r="D15" s="6" t="s">
        <v>41</v>
      </c>
      <c r="I15" s="9">
        <f>IF(G15="","",G15+IF(H15="",0,H15))</f>
        <v/>
      </c>
      <c r="J15" s="9">
        <f>IF(F15&lt;&gt;"",F15,IF(E15&lt;&gt;"",E15,""))</f>
        <v/>
      </c>
      <c r="K15" s="6" t="s">
        <v>42</v>
      </c>
      <c r="L15" s="6" t="s">
        <v>377</v>
      </c>
      <c r="M15" s="6" t="s">
        <v>44</v>
      </c>
      <c r="N15" s="6" t="s">
        <v>44</v>
      </c>
      <c r="O15" s="6" t="s">
        <v>378</v>
      </c>
      <c r="P15" s="6"/>
    </row>
    <row r="16" spans="1:16">
      <c r="A16" s="3" t="s">
        <v>379</v>
      </c>
      <c r="B16" s="3" t="s">
        <v>350</v>
      </c>
      <c r="C16" s="3" t="s">
        <v>380</v>
      </c>
      <c r="D16" s="3" t="s">
        <v>41</v>
      </c>
      <c r="I16" s="8">
        <f>IF(G16="","",G16+IF(H16="",0,H16))</f>
        <v/>
      </c>
      <c r="J16" s="8">
        <f>IF(F16&lt;&gt;"",F16,IF(E16&lt;&gt;"",E16,""))</f>
        <v/>
      </c>
      <c r="K16" s="3" t="s">
        <v>42</v>
      </c>
      <c r="L16" s="3" t="s">
        <v>381</v>
      </c>
      <c r="M16" s="3" t="s">
        <v>44</v>
      </c>
      <c r="N16" s="3" t="s">
        <v>44</v>
      </c>
      <c r="O16" s="3" t="s">
        <v>382</v>
      </c>
      <c r="P16" s="3"/>
    </row>
    <row r="17" spans="1:16">
      <c r="A17" s="6" t="s">
        <v>383</v>
      </c>
      <c r="B17" s="6" t="s">
        <v>350</v>
      </c>
      <c r="C17" s="6" t="s">
        <v>384</v>
      </c>
      <c r="D17" s="6" t="s">
        <v>67</v>
      </c>
      <c r="I17" s="9">
        <f>IF(G17="","",G17+IF(H17="",0,H17))</f>
        <v/>
      </c>
      <c r="J17" s="9">
        <f>IF(F17&lt;&gt;"",F17,IF(E17&lt;&gt;"",E17,""))</f>
        <v/>
      </c>
      <c r="K17" s="6" t="s">
        <v>42</v>
      </c>
      <c r="L17" s="6" t="s">
        <v>385</v>
      </c>
      <c r="M17" s="6" t="s">
        <v>44</v>
      </c>
      <c r="N17" s="6" t="s">
        <v>44</v>
      </c>
      <c r="O17" s="6" t="s">
        <v>386</v>
      </c>
      <c r="P17" s="6"/>
    </row>
    <row r="18" spans="1:16">
      <c r="A18" s="3" t="s">
        <v>387</v>
      </c>
      <c r="B18" s="3" t="s">
        <v>350</v>
      </c>
      <c r="C18" s="3" t="s">
        <v>388</v>
      </c>
      <c r="D18" s="3" t="s">
        <v>41</v>
      </c>
      <c r="I18" s="8">
        <f>IF(G18="","",G18+IF(H18="",0,H18))</f>
        <v/>
      </c>
      <c r="J18" s="8">
        <f>IF(F18&lt;&gt;"",F18,IF(E18&lt;&gt;"",E18,""))</f>
        <v/>
      </c>
      <c r="K18" s="3" t="s">
        <v>42</v>
      </c>
      <c r="L18" s="3" t="s">
        <v>331</v>
      </c>
      <c r="M18" s="3" t="s">
        <v>44</v>
      </c>
      <c r="N18" s="3" t="s">
        <v>44</v>
      </c>
      <c r="O18" s="3" t="s">
        <v>389</v>
      </c>
      <c r="P18" s="3"/>
    </row>
    <row r="19" spans="1:16">
      <c r="A19" s="6" t="s">
        <v>390</v>
      </c>
      <c r="B19" s="6" t="s">
        <v>350</v>
      </c>
      <c r="C19" s="6" t="s">
        <v>391</v>
      </c>
      <c r="D19" s="6" t="s">
        <v>41</v>
      </c>
      <c r="I19" s="9">
        <f>IF(G19="","",G19+IF(H19="",0,H19))</f>
        <v/>
      </c>
      <c r="J19" s="9">
        <f>IF(F19&lt;&gt;"",F19,IF(E19&lt;&gt;"",E19,""))</f>
        <v/>
      </c>
      <c r="K19" s="6" t="s">
        <v>42</v>
      </c>
      <c r="L19" s="6" t="s">
        <v>343</v>
      </c>
      <c r="M19" s="6" t="s">
        <v>44</v>
      </c>
      <c r="N19" s="6" t="s">
        <v>44</v>
      </c>
      <c r="O19" s="6" t="s">
        <v>392</v>
      </c>
      <c r="P19" s="6"/>
    </row>
    <row r="20" spans="1:16">
      <c r="A20" s="3" t="s">
        <v>393</v>
      </c>
      <c r="B20" s="3" t="s">
        <v>394</v>
      </c>
      <c r="C20" s="3" t="s">
        <v>395</v>
      </c>
      <c r="D20" s="3" t="s">
        <v>41</v>
      </c>
      <c r="I20" s="8">
        <f>IF(G20="","",G20+IF(H20="",0,H20))</f>
        <v/>
      </c>
      <c r="J20" s="8">
        <f>IF(F20&lt;&gt;"",F20,IF(E20&lt;&gt;"",E20,""))</f>
        <v/>
      </c>
      <c r="K20" s="3" t="s">
        <v>42</v>
      </c>
      <c r="L20" s="3" t="s">
        <v>327</v>
      </c>
      <c r="M20" s="3" t="s">
        <v>44</v>
      </c>
      <c r="N20" s="3" t="s">
        <v>44</v>
      </c>
      <c r="O20" s="3" t="s">
        <v>396</v>
      </c>
      <c r="P20" s="3"/>
    </row>
    <row r="21" spans="1:16">
      <c r="A21" s="6" t="s">
        <v>397</v>
      </c>
      <c r="B21" s="6" t="s">
        <v>394</v>
      </c>
      <c r="C21" s="6" t="s">
        <v>398</v>
      </c>
      <c r="D21" s="6" t="s">
        <v>41</v>
      </c>
      <c r="I21" s="9">
        <f>IF(G21="","",G21+IF(H21="",0,H21))</f>
        <v/>
      </c>
      <c r="J21" s="9">
        <f>IF(F21&lt;&gt;"",F21,IF(E21&lt;&gt;"",E21,""))</f>
        <v/>
      </c>
      <c r="K21" s="6" t="s">
        <v>42</v>
      </c>
      <c r="L21" s="6" t="s">
        <v>331</v>
      </c>
      <c r="M21" s="6" t="s">
        <v>44</v>
      </c>
      <c r="N21" s="6" t="s">
        <v>44</v>
      </c>
      <c r="O21" s="6" t="s">
        <v>399</v>
      </c>
      <c r="P21" s="6"/>
    </row>
    <row r="22" spans="1:16">
      <c r="A22" s="3" t="s">
        <v>400</v>
      </c>
      <c r="B22" s="3" t="s">
        <v>394</v>
      </c>
      <c r="C22" s="3" t="s">
        <v>401</v>
      </c>
      <c r="D22" s="3" t="s">
        <v>41</v>
      </c>
      <c r="I22" s="8">
        <f>IF(G22="","",G22+IF(H22="",0,H22))</f>
        <v/>
      </c>
      <c r="J22" s="8">
        <f>IF(F22&lt;&gt;"",F22,IF(E22&lt;&gt;"",E22,""))</f>
        <v/>
      </c>
      <c r="K22" s="3" t="s">
        <v>42</v>
      </c>
      <c r="L22" s="3" t="s">
        <v>356</v>
      </c>
      <c r="M22" s="3" t="s">
        <v>44</v>
      </c>
      <c r="N22" s="3" t="s">
        <v>44</v>
      </c>
      <c r="O22" s="3" t="s">
        <v>402</v>
      </c>
      <c r="P22" s="3"/>
    </row>
    <row r="23" spans="1:16">
      <c r="A23" s="6" t="s">
        <v>403</v>
      </c>
      <c r="B23" s="6" t="s">
        <v>394</v>
      </c>
      <c r="C23" s="6" t="s">
        <v>404</v>
      </c>
      <c r="D23" s="6" t="s">
        <v>41</v>
      </c>
      <c r="I23" s="9">
        <f>IF(G23="","",G23+IF(H23="",0,H23))</f>
        <v/>
      </c>
      <c r="J23" s="9">
        <f>IF(F23&lt;&gt;"",F23,IF(E23&lt;&gt;"",E23,""))</f>
        <v/>
      </c>
      <c r="K23" s="6" t="s">
        <v>42</v>
      </c>
      <c r="L23" s="6" t="s">
        <v>335</v>
      </c>
      <c r="M23" s="6" t="s">
        <v>44</v>
      </c>
      <c r="N23" s="6" t="s">
        <v>44</v>
      </c>
      <c r="O23" s="6" t="s">
        <v>405</v>
      </c>
      <c r="P23" s="6"/>
    </row>
    <row r="24" spans="1:16">
      <c r="A24" s="3" t="s">
        <v>406</v>
      </c>
      <c r="B24" s="3" t="s">
        <v>394</v>
      </c>
      <c r="C24" s="3" t="s">
        <v>407</v>
      </c>
      <c r="D24" s="3" t="s">
        <v>41</v>
      </c>
      <c r="I24" s="8">
        <f>IF(G24="","",G24+IF(H24="",0,H24))</f>
        <v/>
      </c>
      <c r="J24" s="8">
        <f>IF(F24&lt;&gt;"",F24,IF(E24&lt;&gt;"",E24,""))</f>
        <v/>
      </c>
      <c r="K24" s="3" t="s">
        <v>42</v>
      </c>
      <c r="L24" s="3" t="s">
        <v>360</v>
      </c>
      <c r="M24" s="3" t="s">
        <v>44</v>
      </c>
      <c r="N24" s="3" t="s">
        <v>44</v>
      </c>
      <c r="O24" s="3" t="s">
        <v>408</v>
      </c>
      <c r="P24" s="3"/>
    </row>
    <row r="25" spans="1:16">
      <c r="A25" s="6" t="s">
        <v>409</v>
      </c>
      <c r="B25" s="6" t="s">
        <v>394</v>
      </c>
      <c r="C25" s="6" t="s">
        <v>410</v>
      </c>
      <c r="D25" s="6" t="s">
        <v>41</v>
      </c>
      <c r="I25" s="9">
        <f>IF(G25="","",G25+IF(H25="",0,H25))</f>
        <v/>
      </c>
      <c r="J25" s="9">
        <f>IF(F25&lt;&gt;"",F25,IF(E25&lt;&gt;"",E25,""))</f>
        <v/>
      </c>
      <c r="K25" s="6" t="s">
        <v>42</v>
      </c>
      <c r="L25" s="6" t="s">
        <v>411</v>
      </c>
      <c r="M25" s="6" t="s">
        <v>44</v>
      </c>
      <c r="N25" s="6" t="s">
        <v>44</v>
      </c>
      <c r="O25" s="6" t="s">
        <v>412</v>
      </c>
      <c r="P25" s="6"/>
    </row>
    <row r="26" spans="1:16">
      <c r="A26" s="3" t="s">
        <v>413</v>
      </c>
      <c r="B26" s="3" t="s">
        <v>414</v>
      </c>
      <c r="C26" s="3" t="s">
        <v>415</v>
      </c>
      <c r="D26" s="3" t="s">
        <v>41</v>
      </c>
      <c r="I26" s="8">
        <f>IF(G26="","",G26+IF(H26="",0,H26))</f>
        <v/>
      </c>
      <c r="J26" s="8">
        <f>IF(F26&lt;&gt;"",F26,IF(E26&lt;&gt;"",E26,""))</f>
        <v/>
      </c>
      <c r="K26" s="3" t="s">
        <v>42</v>
      </c>
      <c r="L26" s="3" t="s">
        <v>356</v>
      </c>
      <c r="M26" s="3" t="s">
        <v>44</v>
      </c>
      <c r="N26" s="3" t="s">
        <v>44</v>
      </c>
      <c r="O26" s="3" t="s">
        <v>416</v>
      </c>
      <c r="P26" s="3"/>
    </row>
    <row r="27" spans="1:16">
      <c r="A27" s="6" t="s">
        <v>417</v>
      </c>
      <c r="B27" s="6" t="s">
        <v>414</v>
      </c>
      <c r="C27" s="6" t="s">
        <v>418</v>
      </c>
      <c r="D27" s="6" t="s">
        <v>41</v>
      </c>
      <c r="I27" s="9">
        <f>IF(G27="","",G27+IF(H27="",0,H27))</f>
        <v/>
      </c>
      <c r="J27" s="9">
        <f>IF(F27&lt;&gt;"",F27,IF(E27&lt;&gt;"",E27,""))</f>
        <v/>
      </c>
      <c r="K27" s="6" t="s">
        <v>42</v>
      </c>
      <c r="L27" s="6" t="s">
        <v>331</v>
      </c>
      <c r="M27" s="6" t="s">
        <v>44</v>
      </c>
      <c r="N27" s="6" t="s">
        <v>44</v>
      </c>
      <c r="O27" s="6" t="s">
        <v>419</v>
      </c>
      <c r="P27" s="6"/>
    </row>
    <row r="28" spans="1:16">
      <c r="A28" s="3" t="s">
        <v>420</v>
      </c>
      <c r="B28" s="3" t="s">
        <v>414</v>
      </c>
      <c r="C28" s="3" t="s">
        <v>421</v>
      </c>
      <c r="D28" s="3" t="s">
        <v>41</v>
      </c>
      <c r="I28" s="8">
        <f>IF(G28="","",G28+IF(H28="",0,H28))</f>
        <v/>
      </c>
      <c r="J28" s="8">
        <f>IF(F28&lt;&gt;"",F28,IF(E28&lt;&gt;"",E28,""))</f>
        <v/>
      </c>
      <c r="K28" s="3" t="s">
        <v>42</v>
      </c>
      <c r="L28" s="3" t="s">
        <v>331</v>
      </c>
      <c r="M28" s="3" t="s">
        <v>44</v>
      </c>
      <c r="N28" s="3" t="s">
        <v>44</v>
      </c>
      <c r="O28" s="3" t="s">
        <v>422</v>
      </c>
      <c r="P28" s="3"/>
    </row>
    <row r="29" spans="1:16">
      <c r="A29" s="6" t="s">
        <v>423</v>
      </c>
      <c r="B29" s="6" t="s">
        <v>414</v>
      </c>
      <c r="C29" s="6" t="s">
        <v>424</v>
      </c>
      <c r="D29" s="6" t="s">
        <v>41</v>
      </c>
      <c r="I29" s="9">
        <f>IF(G29="","",G29+IF(H29="",0,H29))</f>
        <v/>
      </c>
      <c r="J29" s="9">
        <f>IF(F29&lt;&gt;"",F29,IF(E29&lt;&gt;"",E29,""))</f>
        <v/>
      </c>
      <c r="K29" s="6" t="s">
        <v>42</v>
      </c>
      <c r="L29" s="6" t="s">
        <v>343</v>
      </c>
      <c r="M29" s="6" t="s">
        <v>44</v>
      </c>
      <c r="N29" s="6" t="s">
        <v>44</v>
      </c>
      <c r="O29" s="6" t="s">
        <v>425</v>
      </c>
      <c r="P29" s="6"/>
    </row>
    <row r="30" spans="1:16">
      <c r="A30" s="3" t="s">
        <v>426</v>
      </c>
      <c r="B30" s="3" t="s">
        <v>414</v>
      </c>
      <c r="C30" s="3" t="s">
        <v>427</v>
      </c>
      <c r="D30" s="3" t="s">
        <v>41</v>
      </c>
      <c r="I30" s="8">
        <f>IF(G30="","",G30+IF(H30="",0,H30))</f>
        <v/>
      </c>
      <c r="J30" s="8">
        <f>IF(F30&lt;&gt;"",F30,IF(E30&lt;&gt;"",E30,""))</f>
        <v/>
      </c>
      <c r="K30" s="3" t="s">
        <v>42</v>
      </c>
      <c r="L30" s="3" t="s">
        <v>428</v>
      </c>
      <c r="M30" s="3" t="s">
        <v>44</v>
      </c>
      <c r="N30" s="3" t="s">
        <v>44</v>
      </c>
      <c r="O30" s="3" t="s">
        <v>429</v>
      </c>
      <c r="P30" s="3"/>
    </row>
    <row r="31" spans="1:16">
      <c r="A31" s="6" t="s">
        <v>430</v>
      </c>
      <c r="B31" s="6" t="s">
        <v>414</v>
      </c>
      <c r="C31" s="6" t="s">
        <v>431</v>
      </c>
      <c r="D31" s="6" t="s">
        <v>41</v>
      </c>
      <c r="I31" s="9">
        <f>IF(G31="","",G31+IF(H31="",0,H31))</f>
        <v/>
      </c>
      <c r="J31" s="9">
        <f>IF(F31&lt;&gt;"",F31,IF(E31&lt;&gt;"",E31,""))</f>
        <v/>
      </c>
      <c r="K31" s="6" t="s">
        <v>42</v>
      </c>
      <c r="L31" s="6" t="s">
        <v>360</v>
      </c>
      <c r="M31" s="6" t="s">
        <v>44</v>
      </c>
      <c r="N31" s="6" t="s">
        <v>44</v>
      </c>
      <c r="O31" s="6" t="s">
        <v>432</v>
      </c>
      <c r="P31" s="6"/>
    </row>
    <row r="32" spans="1:16">
      <c r="A32" s="3" t="s">
        <v>433</v>
      </c>
      <c r="B32" s="3" t="s">
        <v>414</v>
      </c>
      <c r="C32" s="3" t="s">
        <v>434</v>
      </c>
      <c r="D32" s="3" t="s">
        <v>41</v>
      </c>
      <c r="I32" s="8">
        <f>IF(G32="","",G32+IF(H32="",0,H32))</f>
        <v/>
      </c>
      <c r="J32" s="8">
        <f>IF(F32&lt;&gt;"",F32,IF(E32&lt;&gt;"",E32,""))</f>
        <v/>
      </c>
      <c r="K32" s="3" t="s">
        <v>42</v>
      </c>
      <c r="L32" s="3" t="s">
        <v>370</v>
      </c>
      <c r="M32" s="3" t="s">
        <v>44</v>
      </c>
      <c r="N32" s="3" t="s">
        <v>44</v>
      </c>
      <c r="O32" s="3" t="s">
        <v>435</v>
      </c>
      <c r="P32" s="3"/>
    </row>
  </sheetData>
  <autoFilter ref="A1:P32"/>
  <conditionalFormatting sqref="D2:D3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02A3F"/>
  </sheetPr>
  <dimension ref="A1:P14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436</v>
      </c>
      <c r="B2" s="3" t="s">
        <v>437</v>
      </c>
      <c r="C2" s="3" t="s">
        <v>438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42</v>
      </c>
      <c r="L2" s="3" t="s">
        <v>439</v>
      </c>
      <c r="M2" s="3" t="s">
        <v>44</v>
      </c>
      <c r="N2" s="3" t="s">
        <v>44</v>
      </c>
      <c r="O2" s="3" t="s">
        <v>440</v>
      </c>
      <c r="P2" s="3"/>
    </row>
    <row r="3" spans="1:16">
      <c r="A3" s="6" t="s">
        <v>441</v>
      </c>
      <c r="B3" s="6" t="s">
        <v>442</v>
      </c>
      <c r="C3" s="6" t="s">
        <v>443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444</v>
      </c>
      <c r="M3" s="6" t="s">
        <v>44</v>
      </c>
      <c r="N3" s="6" t="s">
        <v>44</v>
      </c>
      <c r="O3" s="6" t="s">
        <v>445</v>
      </c>
      <c r="P3" s="6"/>
    </row>
    <row r="4" spans="1:16">
      <c r="A4" s="3" t="s">
        <v>446</v>
      </c>
      <c r="B4" s="3" t="s">
        <v>442</v>
      </c>
      <c r="C4" s="3" t="s">
        <v>447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448</v>
      </c>
      <c r="M4" s="3" t="s">
        <v>44</v>
      </c>
      <c r="N4" s="3" t="s">
        <v>44</v>
      </c>
      <c r="O4" s="3" t="s">
        <v>449</v>
      </c>
      <c r="P4" s="3"/>
    </row>
    <row r="5" spans="1:16">
      <c r="A5" s="6" t="s">
        <v>450</v>
      </c>
      <c r="B5" s="6" t="s">
        <v>442</v>
      </c>
      <c r="C5" s="6" t="s">
        <v>451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452</v>
      </c>
      <c r="M5" s="6" t="s">
        <v>44</v>
      </c>
      <c r="N5" s="6" t="s">
        <v>44</v>
      </c>
      <c r="O5" s="6" t="s">
        <v>453</v>
      </c>
      <c r="P5" s="6"/>
    </row>
    <row r="6" spans="1:16">
      <c r="A6" s="3" t="s">
        <v>454</v>
      </c>
      <c r="B6" s="3" t="s">
        <v>442</v>
      </c>
      <c r="C6" s="3" t="s">
        <v>455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456</v>
      </c>
      <c r="M6" s="3" t="s">
        <v>44</v>
      </c>
      <c r="N6" s="3" t="s">
        <v>44</v>
      </c>
      <c r="O6" s="3" t="s">
        <v>457</v>
      </c>
      <c r="P6" s="3"/>
    </row>
    <row r="7" spans="1:16">
      <c r="A7" s="6" t="s">
        <v>458</v>
      </c>
      <c r="B7" s="6" t="s">
        <v>442</v>
      </c>
      <c r="C7" s="6" t="s">
        <v>459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439</v>
      </c>
      <c r="M7" s="6" t="s">
        <v>44</v>
      </c>
      <c r="N7" s="6" t="s">
        <v>44</v>
      </c>
      <c r="O7" s="6" t="s">
        <v>460</v>
      </c>
      <c r="P7" s="6"/>
    </row>
    <row r="8" spans="1:16">
      <c r="A8" s="3" t="s">
        <v>461</v>
      </c>
      <c r="B8" s="3" t="s">
        <v>462</v>
      </c>
      <c r="C8" s="3" t="s">
        <v>463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464</v>
      </c>
      <c r="M8" s="3" t="s">
        <v>44</v>
      </c>
      <c r="N8" s="3" t="s">
        <v>44</v>
      </c>
      <c r="O8" s="3" t="s">
        <v>465</v>
      </c>
      <c r="P8" s="3"/>
    </row>
    <row r="9" spans="1:16">
      <c r="A9" s="6" t="s">
        <v>466</v>
      </c>
      <c r="B9" s="6" t="s">
        <v>462</v>
      </c>
      <c r="C9" s="6" t="s">
        <v>467</v>
      </c>
      <c r="D9" s="6" t="s">
        <v>41</v>
      </c>
      <c r="I9" s="9">
        <f>IF(G9="","",G9+IF(H9="",0,H9))</f>
        <v/>
      </c>
      <c r="J9" s="9">
        <f>IF(F9&lt;&gt;"",F9,IF(E9&lt;&gt;"",E9,""))</f>
        <v/>
      </c>
      <c r="K9" s="6" t="s">
        <v>42</v>
      </c>
      <c r="L9" s="6" t="s">
        <v>468</v>
      </c>
      <c r="M9" s="6" t="s">
        <v>44</v>
      </c>
      <c r="N9" s="6" t="s">
        <v>44</v>
      </c>
      <c r="O9" s="6" t="s">
        <v>469</v>
      </c>
      <c r="P9" s="6"/>
    </row>
    <row r="10" spans="1:16">
      <c r="A10" s="3" t="s">
        <v>470</v>
      </c>
      <c r="B10" s="3" t="s">
        <v>462</v>
      </c>
      <c r="C10" s="3" t="s">
        <v>471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472</v>
      </c>
      <c r="M10" s="3" t="s">
        <v>44</v>
      </c>
      <c r="N10" s="3" t="s">
        <v>44</v>
      </c>
      <c r="O10" s="3" t="s">
        <v>473</v>
      </c>
      <c r="P10" s="3"/>
    </row>
    <row r="11" spans="1:16">
      <c r="A11" s="6" t="s">
        <v>474</v>
      </c>
      <c r="B11" s="6" t="s">
        <v>462</v>
      </c>
      <c r="C11" s="6" t="s">
        <v>475</v>
      </c>
      <c r="D11" s="6" t="s">
        <v>41</v>
      </c>
      <c r="I11" s="9">
        <f>IF(G11="","",G11+IF(H11="",0,H11))</f>
        <v/>
      </c>
      <c r="J11" s="9">
        <f>IF(F11&lt;&gt;"",F11,IF(E11&lt;&gt;"",E11,""))</f>
        <v/>
      </c>
      <c r="K11" s="6" t="s">
        <v>42</v>
      </c>
      <c r="L11" s="6" t="s">
        <v>476</v>
      </c>
      <c r="M11" s="6" t="s">
        <v>44</v>
      </c>
      <c r="N11" s="6" t="s">
        <v>44</v>
      </c>
      <c r="O11" s="6" t="s">
        <v>477</v>
      </c>
      <c r="P11" s="6"/>
    </row>
    <row r="12" spans="1:16">
      <c r="A12" s="3" t="s">
        <v>478</v>
      </c>
      <c r="B12" s="3" t="s">
        <v>479</v>
      </c>
      <c r="C12" s="3" t="s">
        <v>480</v>
      </c>
      <c r="D12" s="3" t="s">
        <v>41</v>
      </c>
      <c r="I12" s="8">
        <f>IF(G12="","",G12+IF(H12="",0,H12))</f>
        <v/>
      </c>
      <c r="J12" s="8">
        <f>IF(F12&lt;&gt;"",F12,IF(E12&lt;&gt;"",E12,""))</f>
        <v/>
      </c>
      <c r="K12" s="3" t="s">
        <v>42</v>
      </c>
      <c r="L12" s="3" t="s">
        <v>481</v>
      </c>
      <c r="M12" s="3" t="s">
        <v>44</v>
      </c>
      <c r="N12" s="3" t="s">
        <v>44</v>
      </c>
      <c r="O12" s="3" t="s">
        <v>482</v>
      </c>
      <c r="P12" s="3"/>
    </row>
    <row r="13" spans="1:16">
      <c r="A13" s="6" t="s">
        <v>483</v>
      </c>
      <c r="B13" s="6" t="s">
        <v>479</v>
      </c>
      <c r="C13" s="6" t="s">
        <v>484</v>
      </c>
      <c r="D13" s="6" t="s">
        <v>41</v>
      </c>
      <c r="I13" s="9">
        <f>IF(G13="","",G13+IF(H13="",0,H13))</f>
        <v/>
      </c>
      <c r="J13" s="9">
        <f>IF(F13&lt;&gt;"",F13,IF(E13&lt;&gt;"",E13,""))</f>
        <v/>
      </c>
      <c r="K13" s="6" t="s">
        <v>42</v>
      </c>
      <c r="L13" s="6" t="s">
        <v>485</v>
      </c>
      <c r="M13" s="6" t="s">
        <v>44</v>
      </c>
      <c r="N13" s="6" t="s">
        <v>44</v>
      </c>
      <c r="O13" s="6" t="s">
        <v>486</v>
      </c>
      <c r="P13" s="6"/>
    </row>
    <row r="14" spans="1:16">
      <c r="A14" s="3" t="s">
        <v>487</v>
      </c>
      <c r="B14" s="3" t="s">
        <v>479</v>
      </c>
      <c r="C14" s="3" t="s">
        <v>488</v>
      </c>
      <c r="D14" s="3" t="s">
        <v>41</v>
      </c>
      <c r="I14" s="8">
        <f>IF(G14="","",G14+IF(H14="",0,H14))</f>
        <v/>
      </c>
      <c r="J14" s="8">
        <f>IF(F14&lt;&gt;"",F14,IF(E14&lt;&gt;"",E14,""))</f>
        <v/>
      </c>
      <c r="K14" s="3" t="s">
        <v>42</v>
      </c>
      <c r="L14" s="3" t="s">
        <v>489</v>
      </c>
      <c r="M14" s="3" t="s">
        <v>44</v>
      </c>
      <c r="N14" s="3" t="s">
        <v>44</v>
      </c>
      <c r="O14" s="3" t="s">
        <v>490</v>
      </c>
      <c r="P14" s="3"/>
    </row>
  </sheetData>
  <autoFilter ref="A1:P14"/>
  <conditionalFormatting sqref="D2:D14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02A3F"/>
  </sheetPr>
  <dimension ref="A1:P1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491</v>
      </c>
      <c r="B2" s="3" t="s">
        <v>442</v>
      </c>
      <c r="C2" s="3" t="s">
        <v>492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42</v>
      </c>
      <c r="L2" s="3" t="s">
        <v>493</v>
      </c>
      <c r="M2" s="3" t="s">
        <v>44</v>
      </c>
      <c r="N2" s="3" t="s">
        <v>44</v>
      </c>
      <c r="O2" s="3" t="s">
        <v>494</v>
      </c>
      <c r="P2" s="3"/>
    </row>
    <row r="3" spans="1:16">
      <c r="A3" s="6" t="s">
        <v>495</v>
      </c>
      <c r="B3" s="6" t="s">
        <v>442</v>
      </c>
      <c r="C3" s="6" t="s">
        <v>496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497</v>
      </c>
      <c r="M3" s="6" t="s">
        <v>44</v>
      </c>
      <c r="N3" s="6" t="s">
        <v>44</v>
      </c>
      <c r="O3" s="6" t="s">
        <v>498</v>
      </c>
      <c r="P3" s="6"/>
    </row>
    <row r="4" spans="1:16">
      <c r="A4" s="3" t="s">
        <v>499</v>
      </c>
      <c r="B4" s="3" t="s">
        <v>442</v>
      </c>
      <c r="C4" s="3" t="s">
        <v>500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501</v>
      </c>
      <c r="M4" s="3" t="s">
        <v>44</v>
      </c>
      <c r="N4" s="3" t="s">
        <v>44</v>
      </c>
      <c r="O4" s="3" t="s">
        <v>502</v>
      </c>
      <c r="P4" s="3"/>
    </row>
    <row r="5" spans="1:16">
      <c r="A5" s="6" t="s">
        <v>503</v>
      </c>
      <c r="B5" s="6" t="s">
        <v>504</v>
      </c>
      <c r="C5" s="6" t="s">
        <v>505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506</v>
      </c>
      <c r="M5" s="6" t="s">
        <v>44</v>
      </c>
      <c r="N5" s="6" t="s">
        <v>44</v>
      </c>
      <c r="O5" s="6" t="s">
        <v>507</v>
      </c>
      <c r="P5" s="6"/>
    </row>
    <row r="6" spans="1:16">
      <c r="A6" s="3" t="s">
        <v>508</v>
      </c>
      <c r="B6" s="3" t="s">
        <v>504</v>
      </c>
      <c r="C6" s="3" t="s">
        <v>509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510</v>
      </c>
      <c r="M6" s="3" t="s">
        <v>44</v>
      </c>
      <c r="N6" s="3" t="s">
        <v>44</v>
      </c>
      <c r="O6" s="3" t="s">
        <v>511</v>
      </c>
      <c r="P6" s="3"/>
    </row>
    <row r="7" spans="1:16">
      <c r="A7" s="6" t="s">
        <v>512</v>
      </c>
      <c r="B7" s="6" t="s">
        <v>504</v>
      </c>
      <c r="C7" s="6" t="s">
        <v>513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514</v>
      </c>
      <c r="M7" s="6" t="s">
        <v>44</v>
      </c>
      <c r="N7" s="6" t="s">
        <v>44</v>
      </c>
      <c r="O7" s="6" t="s">
        <v>515</v>
      </c>
      <c r="P7" s="6"/>
    </row>
    <row r="8" spans="1:16">
      <c r="A8" s="3" t="s">
        <v>516</v>
      </c>
      <c r="B8" s="3" t="s">
        <v>462</v>
      </c>
      <c r="C8" s="3" t="s">
        <v>517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518</v>
      </c>
      <c r="M8" s="3" t="s">
        <v>44</v>
      </c>
      <c r="N8" s="3" t="s">
        <v>44</v>
      </c>
      <c r="O8" s="3" t="s">
        <v>519</v>
      </c>
      <c r="P8" s="3"/>
    </row>
    <row r="9" spans="1:16">
      <c r="A9" s="6" t="s">
        <v>520</v>
      </c>
      <c r="B9" s="6" t="s">
        <v>462</v>
      </c>
      <c r="C9" s="6" t="s">
        <v>521</v>
      </c>
      <c r="D9" s="6" t="s">
        <v>41</v>
      </c>
      <c r="I9" s="9">
        <f>IF(G9="","",G9+IF(H9="",0,H9))</f>
        <v/>
      </c>
      <c r="J9" s="9">
        <f>IF(F9&lt;&gt;"",F9,IF(E9&lt;&gt;"",E9,""))</f>
        <v/>
      </c>
      <c r="K9" s="6" t="s">
        <v>42</v>
      </c>
      <c r="L9" s="6" t="s">
        <v>522</v>
      </c>
      <c r="M9" s="6" t="s">
        <v>44</v>
      </c>
      <c r="N9" s="6" t="s">
        <v>44</v>
      </c>
      <c r="O9" s="6" t="s">
        <v>523</v>
      </c>
      <c r="P9" s="6"/>
    </row>
    <row r="10" spans="1:16">
      <c r="A10" s="3" t="s">
        <v>524</v>
      </c>
      <c r="B10" s="3" t="s">
        <v>462</v>
      </c>
      <c r="C10" s="3" t="s">
        <v>525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526</v>
      </c>
      <c r="M10" s="3" t="s">
        <v>44</v>
      </c>
      <c r="N10" s="3" t="s">
        <v>44</v>
      </c>
      <c r="O10" s="3" t="s">
        <v>527</v>
      </c>
      <c r="P10" s="3"/>
    </row>
    <row r="11" spans="1:16">
      <c r="A11" s="6" t="s">
        <v>528</v>
      </c>
      <c r="B11" s="6" t="s">
        <v>462</v>
      </c>
      <c r="C11" s="6" t="s">
        <v>529</v>
      </c>
      <c r="D11" s="6" t="s">
        <v>41</v>
      </c>
      <c r="I11" s="9">
        <f>IF(G11="","",G11+IF(H11="",0,H11))</f>
        <v/>
      </c>
      <c r="J11" s="9">
        <f>IF(F11&lt;&gt;"",F11,IF(E11&lt;&gt;"",E11,""))</f>
        <v/>
      </c>
      <c r="K11" s="6" t="s">
        <v>42</v>
      </c>
      <c r="L11" s="6" t="s">
        <v>530</v>
      </c>
      <c r="M11" s="6" t="s">
        <v>44</v>
      </c>
      <c r="N11" s="6" t="s">
        <v>44</v>
      </c>
      <c r="O11" s="6" t="s">
        <v>531</v>
      </c>
      <c r="P11" s="6"/>
    </row>
    <row r="12" spans="1:16">
      <c r="A12" s="3" t="s">
        <v>532</v>
      </c>
      <c r="B12" s="3" t="s">
        <v>462</v>
      </c>
      <c r="C12" s="3" t="s">
        <v>533</v>
      </c>
      <c r="D12" s="3" t="s">
        <v>41</v>
      </c>
      <c r="I12" s="8">
        <f>IF(G12="","",G12+IF(H12="",0,H12))</f>
        <v/>
      </c>
      <c r="J12" s="8">
        <f>IF(F12&lt;&gt;"",F12,IF(E12&lt;&gt;"",E12,""))</f>
        <v/>
      </c>
      <c r="K12" s="3" t="s">
        <v>42</v>
      </c>
      <c r="L12" s="3" t="s">
        <v>534</v>
      </c>
      <c r="M12" s="3" t="s">
        <v>44</v>
      </c>
      <c r="N12" s="3" t="s">
        <v>44</v>
      </c>
      <c r="O12" s="3" t="s">
        <v>535</v>
      </c>
      <c r="P12" s="3"/>
    </row>
  </sheetData>
  <autoFilter ref="A1:P12"/>
  <conditionalFormatting sqref="D2:D1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02A3F"/>
  </sheetPr>
  <dimension ref="A1:P16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536</v>
      </c>
      <c r="B2" s="3" t="s">
        <v>537</v>
      </c>
      <c r="C2" s="3" t="s">
        <v>538</v>
      </c>
      <c r="D2" s="3" t="s">
        <v>67</v>
      </c>
      <c r="I2" s="8">
        <f>IF(G2="","",G2+IF(H2="",0,H2))</f>
        <v/>
      </c>
      <c r="J2" s="8">
        <f>IF(F2&lt;&gt;"",F2,IF(E2&lt;&gt;"",E2,""))</f>
        <v/>
      </c>
      <c r="K2" s="3" t="s">
        <v>67</v>
      </c>
      <c r="L2" s="3" t="s">
        <v>539</v>
      </c>
      <c r="M2" s="3" t="s">
        <v>44</v>
      </c>
      <c r="N2" s="3" t="s">
        <v>44</v>
      </c>
      <c r="O2" s="3" t="s">
        <v>540</v>
      </c>
      <c r="P2" s="3"/>
    </row>
    <row r="3" spans="1:16">
      <c r="A3" s="6" t="s">
        <v>541</v>
      </c>
      <c r="B3" s="6" t="s">
        <v>437</v>
      </c>
      <c r="C3" s="6" t="s">
        <v>542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543</v>
      </c>
      <c r="M3" s="6" t="s">
        <v>44</v>
      </c>
      <c r="N3" s="6" t="s">
        <v>44</v>
      </c>
      <c r="O3" s="6" t="s">
        <v>544</v>
      </c>
      <c r="P3" s="6"/>
    </row>
    <row r="4" spans="1:16">
      <c r="A4" s="3" t="s">
        <v>545</v>
      </c>
      <c r="B4" s="3" t="s">
        <v>437</v>
      </c>
      <c r="C4" s="3" t="s">
        <v>546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547</v>
      </c>
      <c r="M4" s="3" t="s">
        <v>44</v>
      </c>
      <c r="N4" s="3" t="s">
        <v>44</v>
      </c>
      <c r="O4" s="3" t="s">
        <v>548</v>
      </c>
      <c r="P4" s="3"/>
    </row>
    <row r="5" spans="1:16">
      <c r="A5" s="6" t="s">
        <v>549</v>
      </c>
      <c r="B5" s="6" t="s">
        <v>437</v>
      </c>
      <c r="C5" s="6" t="s">
        <v>550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551</v>
      </c>
      <c r="M5" s="6" t="s">
        <v>44</v>
      </c>
      <c r="N5" s="6" t="s">
        <v>44</v>
      </c>
      <c r="O5" s="6" t="s">
        <v>552</v>
      </c>
      <c r="P5" s="6"/>
    </row>
    <row r="6" spans="1:16">
      <c r="A6" s="3" t="s">
        <v>553</v>
      </c>
      <c r="B6" s="3" t="s">
        <v>437</v>
      </c>
      <c r="C6" s="3" t="s">
        <v>554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555</v>
      </c>
      <c r="M6" s="3" t="s">
        <v>44</v>
      </c>
      <c r="N6" s="3" t="s">
        <v>44</v>
      </c>
      <c r="O6" s="3" t="s">
        <v>556</v>
      </c>
      <c r="P6" s="3"/>
    </row>
    <row r="7" spans="1:16">
      <c r="A7" s="6" t="s">
        <v>557</v>
      </c>
      <c r="B7" s="6" t="s">
        <v>437</v>
      </c>
      <c r="C7" s="6" t="s">
        <v>558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559</v>
      </c>
      <c r="M7" s="6" t="s">
        <v>44</v>
      </c>
      <c r="N7" s="6" t="s">
        <v>44</v>
      </c>
      <c r="O7" s="6" t="s">
        <v>560</v>
      </c>
      <c r="P7" s="6"/>
    </row>
    <row r="8" spans="1:16">
      <c r="A8" s="3" t="s">
        <v>561</v>
      </c>
      <c r="B8" s="3" t="s">
        <v>562</v>
      </c>
      <c r="C8" s="3" t="s">
        <v>563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551</v>
      </c>
      <c r="M8" s="3" t="s">
        <v>44</v>
      </c>
      <c r="N8" s="3" t="s">
        <v>44</v>
      </c>
      <c r="O8" s="3" t="s">
        <v>564</v>
      </c>
      <c r="P8" s="3"/>
    </row>
    <row r="9" spans="1:16">
      <c r="A9" s="6" t="s">
        <v>565</v>
      </c>
      <c r="B9" s="6" t="s">
        <v>562</v>
      </c>
      <c r="C9" s="6" t="s">
        <v>566</v>
      </c>
      <c r="D9" s="6" t="s">
        <v>41</v>
      </c>
      <c r="I9" s="9">
        <f>IF(G9="","",G9+IF(H9="",0,H9))</f>
        <v/>
      </c>
      <c r="J9" s="9">
        <f>IF(F9&lt;&gt;"",F9,IF(E9&lt;&gt;"",E9,""))</f>
        <v/>
      </c>
      <c r="K9" s="6" t="s">
        <v>42</v>
      </c>
      <c r="L9" s="6" t="s">
        <v>555</v>
      </c>
      <c r="M9" s="6" t="s">
        <v>44</v>
      </c>
      <c r="N9" s="6" t="s">
        <v>44</v>
      </c>
      <c r="O9" s="6" t="s">
        <v>567</v>
      </c>
      <c r="P9" s="6"/>
    </row>
    <row r="10" spans="1:16">
      <c r="A10" s="3" t="s">
        <v>568</v>
      </c>
      <c r="B10" s="3" t="s">
        <v>562</v>
      </c>
      <c r="C10" s="3" t="s">
        <v>569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559</v>
      </c>
      <c r="M10" s="3" t="s">
        <v>44</v>
      </c>
      <c r="N10" s="3" t="s">
        <v>44</v>
      </c>
      <c r="O10" s="3" t="s">
        <v>570</v>
      </c>
      <c r="P10" s="3"/>
    </row>
    <row r="11" spans="1:16">
      <c r="A11" s="6" t="s">
        <v>571</v>
      </c>
      <c r="B11" s="6" t="s">
        <v>562</v>
      </c>
      <c r="C11" s="6" t="s">
        <v>572</v>
      </c>
      <c r="D11" s="6" t="s">
        <v>41</v>
      </c>
      <c r="I11" s="9">
        <f>IF(G11="","",G11+IF(H11="",0,H11))</f>
        <v/>
      </c>
      <c r="J11" s="9">
        <f>IF(F11&lt;&gt;"",F11,IF(E11&lt;&gt;"",E11,""))</f>
        <v/>
      </c>
      <c r="K11" s="6" t="s">
        <v>42</v>
      </c>
      <c r="L11" s="6" t="s">
        <v>573</v>
      </c>
      <c r="M11" s="6" t="s">
        <v>44</v>
      </c>
      <c r="N11" s="6" t="s">
        <v>44</v>
      </c>
      <c r="O11" s="6" t="s">
        <v>574</v>
      </c>
      <c r="P11" s="6"/>
    </row>
    <row r="12" spans="1:16">
      <c r="A12" s="3" t="s">
        <v>575</v>
      </c>
      <c r="B12" s="3" t="s">
        <v>576</v>
      </c>
      <c r="C12" s="3" t="s">
        <v>577</v>
      </c>
      <c r="D12" s="3" t="s">
        <v>41</v>
      </c>
      <c r="I12" s="8">
        <f>IF(G12="","",G12+IF(H12="",0,H12))</f>
        <v/>
      </c>
      <c r="J12" s="8">
        <f>IF(F12&lt;&gt;"",F12,IF(E12&lt;&gt;"",E12,""))</f>
        <v/>
      </c>
      <c r="K12" s="3" t="s">
        <v>42</v>
      </c>
      <c r="L12" s="3" t="s">
        <v>578</v>
      </c>
      <c r="M12" s="3" t="s">
        <v>44</v>
      </c>
      <c r="N12" s="3" t="s">
        <v>44</v>
      </c>
      <c r="O12" s="3" t="s">
        <v>579</v>
      </c>
      <c r="P12" s="3"/>
    </row>
    <row r="13" spans="1:16">
      <c r="A13" s="6" t="s">
        <v>580</v>
      </c>
      <c r="B13" s="6" t="s">
        <v>576</v>
      </c>
      <c r="C13" s="6" t="s">
        <v>581</v>
      </c>
      <c r="D13" s="6" t="s">
        <v>41</v>
      </c>
      <c r="I13" s="9">
        <f>IF(G13="","",G13+IF(H13="",0,H13))</f>
        <v/>
      </c>
      <c r="J13" s="9">
        <f>IF(F13&lt;&gt;"",F13,IF(E13&lt;&gt;"",E13,""))</f>
        <v/>
      </c>
      <c r="K13" s="6" t="s">
        <v>42</v>
      </c>
      <c r="L13" s="6" t="s">
        <v>582</v>
      </c>
      <c r="M13" s="6" t="s">
        <v>44</v>
      </c>
      <c r="N13" s="6" t="s">
        <v>44</v>
      </c>
      <c r="O13" s="6" t="s">
        <v>583</v>
      </c>
      <c r="P13" s="6"/>
    </row>
    <row r="14" spans="1:16">
      <c r="A14" s="3" t="s">
        <v>584</v>
      </c>
      <c r="B14" s="3" t="s">
        <v>576</v>
      </c>
      <c r="C14" s="3" t="s">
        <v>585</v>
      </c>
      <c r="D14" s="3" t="s">
        <v>41</v>
      </c>
      <c r="I14" s="8">
        <f>IF(G14="","",G14+IF(H14="",0,H14))</f>
        <v/>
      </c>
      <c r="J14" s="8">
        <f>IF(F14&lt;&gt;"",F14,IF(E14&lt;&gt;"",E14,""))</f>
        <v/>
      </c>
      <c r="K14" s="3" t="s">
        <v>42</v>
      </c>
      <c r="L14" s="3" t="s">
        <v>586</v>
      </c>
      <c r="M14" s="3" t="s">
        <v>44</v>
      </c>
      <c r="N14" s="3" t="s">
        <v>44</v>
      </c>
      <c r="O14" s="3" t="s">
        <v>587</v>
      </c>
      <c r="P14" s="3"/>
    </row>
    <row r="15" spans="1:16">
      <c r="A15" s="6" t="s">
        <v>588</v>
      </c>
      <c r="B15" s="6" t="s">
        <v>576</v>
      </c>
      <c r="C15" s="6" t="s">
        <v>589</v>
      </c>
      <c r="D15" s="6" t="s">
        <v>41</v>
      </c>
      <c r="I15" s="9">
        <f>IF(G15="","",G15+IF(H15="",0,H15))</f>
        <v/>
      </c>
      <c r="J15" s="9">
        <f>IF(F15&lt;&gt;"",F15,IF(E15&lt;&gt;"",E15,""))</f>
        <v/>
      </c>
      <c r="K15" s="6" t="s">
        <v>42</v>
      </c>
      <c r="L15" s="6" t="s">
        <v>590</v>
      </c>
      <c r="M15" s="6" t="s">
        <v>44</v>
      </c>
      <c r="N15" s="6" t="s">
        <v>44</v>
      </c>
      <c r="O15" s="6" t="s">
        <v>591</v>
      </c>
      <c r="P15" s="6"/>
    </row>
    <row r="16" spans="1:16">
      <c r="A16" s="3" t="s">
        <v>592</v>
      </c>
      <c r="B16" s="3" t="s">
        <v>576</v>
      </c>
      <c r="C16" s="3" t="s">
        <v>593</v>
      </c>
      <c r="D16" s="3" t="s">
        <v>41</v>
      </c>
      <c r="I16" s="8">
        <f>IF(G16="","",G16+IF(H16="",0,H16))</f>
        <v/>
      </c>
      <c r="J16" s="8">
        <f>IF(F16&lt;&gt;"",F16,IF(E16&lt;&gt;"",E16,""))</f>
        <v/>
      </c>
      <c r="K16" s="3" t="s">
        <v>42</v>
      </c>
      <c r="L16" s="3" t="s">
        <v>594</v>
      </c>
      <c r="M16" s="3" t="s">
        <v>44</v>
      </c>
      <c r="N16" s="3" t="s">
        <v>44</v>
      </c>
      <c r="O16" s="3" t="s">
        <v>595</v>
      </c>
      <c r="P16" s="3"/>
    </row>
  </sheetData>
  <autoFilter ref="A1:P16"/>
  <conditionalFormatting sqref="D2:D16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02A3F"/>
  </sheetPr>
  <dimension ref="A1:P2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596</v>
      </c>
      <c r="B2" s="3" t="s">
        <v>350</v>
      </c>
      <c r="C2" s="3" t="s">
        <v>597</v>
      </c>
      <c r="D2" s="3" t="s">
        <v>67</v>
      </c>
      <c r="I2" s="8">
        <f>IF(G2="","",G2+IF(H2="",0,H2))</f>
        <v/>
      </c>
      <c r="J2" s="8">
        <f>IF(F2&lt;&gt;"",F2,IF(E2&lt;&gt;"",E2,""))</f>
        <v/>
      </c>
      <c r="K2" s="3" t="s">
        <v>67</v>
      </c>
      <c r="L2" s="3" t="s">
        <v>598</v>
      </c>
      <c r="M2" s="3" t="s">
        <v>44</v>
      </c>
      <c r="N2" s="3" t="s">
        <v>44</v>
      </c>
      <c r="O2" s="3" t="s">
        <v>599</v>
      </c>
      <c r="P2" s="3"/>
    </row>
    <row r="3" spans="1:16">
      <c r="A3" s="6" t="s">
        <v>600</v>
      </c>
      <c r="B3" s="6" t="s">
        <v>350</v>
      </c>
      <c r="C3" s="6" t="s">
        <v>601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602</v>
      </c>
      <c r="M3" s="6" t="s">
        <v>44</v>
      </c>
      <c r="N3" s="6" t="s">
        <v>44</v>
      </c>
      <c r="O3" s="6" t="s">
        <v>603</v>
      </c>
      <c r="P3" s="6"/>
    </row>
    <row r="4" spans="1:16">
      <c r="A4" s="3" t="s">
        <v>604</v>
      </c>
      <c r="B4" s="3" t="s">
        <v>537</v>
      </c>
      <c r="C4" s="3" t="s">
        <v>605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606</v>
      </c>
      <c r="M4" s="3" t="s">
        <v>44</v>
      </c>
      <c r="N4" s="3" t="s">
        <v>44</v>
      </c>
      <c r="O4" s="3" t="s">
        <v>607</v>
      </c>
      <c r="P4" s="3"/>
    </row>
    <row r="5" spans="1:16">
      <c r="A5" s="6" t="s">
        <v>608</v>
      </c>
      <c r="B5" s="6" t="s">
        <v>537</v>
      </c>
      <c r="C5" s="6" t="s">
        <v>609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602</v>
      </c>
      <c r="M5" s="6" t="s">
        <v>44</v>
      </c>
      <c r="N5" s="6" t="s">
        <v>44</v>
      </c>
      <c r="O5" s="6" t="s">
        <v>610</v>
      </c>
      <c r="P5" s="6"/>
    </row>
    <row r="6" spans="1:16">
      <c r="A6" s="3" t="s">
        <v>611</v>
      </c>
      <c r="B6" s="3" t="s">
        <v>537</v>
      </c>
      <c r="C6" s="3" t="s">
        <v>612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606</v>
      </c>
      <c r="M6" s="3" t="s">
        <v>44</v>
      </c>
      <c r="N6" s="3" t="s">
        <v>44</v>
      </c>
      <c r="O6" s="3" t="s">
        <v>613</v>
      </c>
      <c r="P6" s="3"/>
    </row>
    <row r="7" spans="1:16">
      <c r="A7" s="6" t="s">
        <v>614</v>
      </c>
      <c r="B7" s="6" t="s">
        <v>437</v>
      </c>
      <c r="C7" s="6" t="s">
        <v>615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616</v>
      </c>
      <c r="M7" s="6" t="s">
        <v>44</v>
      </c>
      <c r="N7" s="6" t="s">
        <v>44</v>
      </c>
      <c r="O7" s="6" t="s">
        <v>617</v>
      </c>
      <c r="P7" s="6"/>
    </row>
    <row r="8" spans="1:16">
      <c r="A8" s="3" t="s">
        <v>618</v>
      </c>
      <c r="B8" s="3" t="s">
        <v>619</v>
      </c>
      <c r="C8" s="3" t="s">
        <v>620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616</v>
      </c>
      <c r="M8" s="3" t="s">
        <v>44</v>
      </c>
      <c r="N8" s="3" t="s">
        <v>44</v>
      </c>
      <c r="O8" s="3" t="s">
        <v>621</v>
      </c>
      <c r="P8" s="3"/>
    </row>
    <row r="9" spans="1:16">
      <c r="A9" s="6" t="s">
        <v>622</v>
      </c>
      <c r="B9" s="6" t="s">
        <v>619</v>
      </c>
      <c r="C9" s="6" t="s">
        <v>623</v>
      </c>
      <c r="D9" s="6" t="s">
        <v>41</v>
      </c>
      <c r="I9" s="9">
        <f>IF(G9="","",G9+IF(H9="",0,H9))</f>
        <v/>
      </c>
      <c r="J9" s="9">
        <f>IF(F9&lt;&gt;"",F9,IF(E9&lt;&gt;"",E9,""))</f>
        <v/>
      </c>
      <c r="K9" s="6" t="s">
        <v>42</v>
      </c>
      <c r="L9" s="6" t="s">
        <v>602</v>
      </c>
      <c r="M9" s="6" t="s">
        <v>44</v>
      </c>
      <c r="N9" s="6" t="s">
        <v>44</v>
      </c>
      <c r="O9" s="6" t="s">
        <v>624</v>
      </c>
      <c r="P9" s="6"/>
    </row>
    <row r="10" spans="1:16">
      <c r="A10" s="3" t="s">
        <v>625</v>
      </c>
      <c r="B10" s="3" t="s">
        <v>619</v>
      </c>
      <c r="C10" s="3" t="s">
        <v>626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606</v>
      </c>
      <c r="M10" s="3" t="s">
        <v>44</v>
      </c>
      <c r="N10" s="3" t="s">
        <v>44</v>
      </c>
      <c r="O10" s="3" t="s">
        <v>627</v>
      </c>
      <c r="P10" s="3"/>
    </row>
    <row r="11" spans="1:16">
      <c r="A11" s="6" t="s">
        <v>628</v>
      </c>
      <c r="B11" s="6" t="s">
        <v>619</v>
      </c>
      <c r="C11" s="6" t="s">
        <v>629</v>
      </c>
      <c r="D11" s="6" t="s">
        <v>41</v>
      </c>
      <c r="I11" s="9">
        <f>IF(G11="","",G11+IF(H11="",0,H11))</f>
        <v/>
      </c>
      <c r="J11" s="9">
        <f>IF(F11&lt;&gt;"",F11,IF(E11&lt;&gt;"",E11,""))</f>
        <v/>
      </c>
      <c r="K11" s="6" t="s">
        <v>42</v>
      </c>
      <c r="L11" s="6" t="s">
        <v>606</v>
      </c>
      <c r="M11" s="6" t="s">
        <v>44</v>
      </c>
      <c r="N11" s="6" t="s">
        <v>44</v>
      </c>
      <c r="O11" s="6" t="s">
        <v>630</v>
      </c>
      <c r="P11" s="6"/>
    </row>
    <row r="12" spans="1:16">
      <c r="A12" s="3" t="s">
        <v>631</v>
      </c>
      <c r="B12" s="3" t="s">
        <v>632</v>
      </c>
      <c r="C12" s="3" t="s">
        <v>633</v>
      </c>
      <c r="D12" s="3" t="s">
        <v>41</v>
      </c>
      <c r="I12" s="8">
        <f>IF(G12="","",G12+IF(H12="",0,H12))</f>
        <v/>
      </c>
      <c r="J12" s="8">
        <f>IF(F12&lt;&gt;"",F12,IF(E12&lt;&gt;"",E12,""))</f>
        <v/>
      </c>
      <c r="K12" s="3" t="s">
        <v>42</v>
      </c>
      <c r="L12" s="3" t="s">
        <v>602</v>
      </c>
      <c r="M12" s="3" t="s">
        <v>44</v>
      </c>
      <c r="N12" s="3" t="s">
        <v>44</v>
      </c>
      <c r="O12" s="3" t="s">
        <v>634</v>
      </c>
      <c r="P12" s="3"/>
    </row>
    <row r="13" spans="1:16">
      <c r="A13" s="6" t="s">
        <v>635</v>
      </c>
      <c r="B13" s="6" t="s">
        <v>636</v>
      </c>
      <c r="C13" s="6" t="s">
        <v>637</v>
      </c>
      <c r="D13" s="6" t="s">
        <v>41</v>
      </c>
      <c r="I13" s="9">
        <f>IF(G13="","",G13+IF(H13="",0,H13))</f>
        <v/>
      </c>
      <c r="J13" s="9">
        <f>IF(F13&lt;&gt;"",F13,IF(E13&lt;&gt;"",E13,""))</f>
        <v/>
      </c>
      <c r="K13" s="6" t="s">
        <v>42</v>
      </c>
      <c r="L13" s="6" t="s">
        <v>602</v>
      </c>
      <c r="M13" s="6" t="s">
        <v>44</v>
      </c>
      <c r="N13" s="6" t="s">
        <v>44</v>
      </c>
      <c r="O13" s="6" t="s">
        <v>638</v>
      </c>
      <c r="P13" s="6"/>
    </row>
    <row r="14" spans="1:16">
      <c r="A14" s="3" t="s">
        <v>639</v>
      </c>
      <c r="B14" s="3" t="s">
        <v>636</v>
      </c>
      <c r="C14" s="3" t="s">
        <v>640</v>
      </c>
      <c r="D14" s="3" t="s">
        <v>41</v>
      </c>
      <c r="I14" s="8">
        <f>IF(G14="","",G14+IF(H14="",0,H14))</f>
        <v/>
      </c>
      <c r="J14" s="8">
        <f>IF(F14&lt;&gt;"",F14,IF(E14&lt;&gt;"",E14,""))</f>
        <v/>
      </c>
      <c r="K14" s="3" t="s">
        <v>42</v>
      </c>
      <c r="L14" s="3" t="s">
        <v>606</v>
      </c>
      <c r="M14" s="3" t="s">
        <v>44</v>
      </c>
      <c r="N14" s="3" t="s">
        <v>44</v>
      </c>
      <c r="O14" s="3" t="s">
        <v>641</v>
      </c>
      <c r="P14" s="3"/>
    </row>
    <row r="15" spans="1:16">
      <c r="A15" s="6" t="s">
        <v>642</v>
      </c>
      <c r="B15" s="6" t="s">
        <v>636</v>
      </c>
      <c r="C15" s="6" t="s">
        <v>643</v>
      </c>
      <c r="D15" s="6" t="s">
        <v>41</v>
      </c>
      <c r="I15" s="9">
        <f>IF(G15="","",G15+IF(H15="",0,H15))</f>
        <v/>
      </c>
      <c r="J15" s="9">
        <f>IF(F15&lt;&gt;"",F15,IF(E15&lt;&gt;"",E15,""))</f>
        <v/>
      </c>
      <c r="K15" s="6" t="s">
        <v>42</v>
      </c>
      <c r="L15" s="6" t="s">
        <v>616</v>
      </c>
      <c r="M15" s="6" t="s">
        <v>44</v>
      </c>
      <c r="N15" s="6" t="s">
        <v>44</v>
      </c>
      <c r="O15" s="6" t="s">
        <v>644</v>
      </c>
      <c r="P15" s="6"/>
    </row>
    <row r="16" spans="1:16">
      <c r="A16" s="3" t="s">
        <v>645</v>
      </c>
      <c r="B16" s="3" t="s">
        <v>646</v>
      </c>
      <c r="C16" s="3" t="s">
        <v>647</v>
      </c>
      <c r="D16" s="3" t="s">
        <v>41</v>
      </c>
      <c r="I16" s="8">
        <f>IF(G16="","",G16+IF(H16="",0,H16))</f>
        <v/>
      </c>
      <c r="J16" s="8">
        <f>IF(F16&lt;&gt;"",F16,IF(E16&lt;&gt;"",E16,""))</f>
        <v/>
      </c>
      <c r="K16" s="3" t="s">
        <v>42</v>
      </c>
      <c r="L16" s="3" t="s">
        <v>616</v>
      </c>
      <c r="M16" s="3" t="s">
        <v>44</v>
      </c>
      <c r="N16" s="3" t="s">
        <v>44</v>
      </c>
      <c r="O16" s="3" t="s">
        <v>648</v>
      </c>
      <c r="P16" s="3"/>
    </row>
    <row r="17" spans="1:16">
      <c r="A17" s="6" t="s">
        <v>649</v>
      </c>
      <c r="B17" s="6" t="s">
        <v>650</v>
      </c>
      <c r="C17" s="6" t="s">
        <v>651</v>
      </c>
      <c r="D17" s="6" t="s">
        <v>41</v>
      </c>
      <c r="I17" s="9">
        <f>IF(G17="","",G17+IF(H17="",0,H17))</f>
        <v/>
      </c>
      <c r="J17" s="9">
        <f>IF(F17&lt;&gt;"",F17,IF(E17&lt;&gt;"",E17,""))</f>
        <v/>
      </c>
      <c r="K17" s="6" t="s">
        <v>42</v>
      </c>
      <c r="L17" s="6" t="s">
        <v>616</v>
      </c>
      <c r="M17" s="6" t="s">
        <v>44</v>
      </c>
      <c r="N17" s="6" t="s">
        <v>44</v>
      </c>
      <c r="O17" s="6" t="s">
        <v>652</v>
      </c>
      <c r="P17" s="6"/>
    </row>
    <row r="18" spans="1:16">
      <c r="A18" s="3" t="s">
        <v>653</v>
      </c>
      <c r="B18" s="3" t="s">
        <v>654</v>
      </c>
      <c r="C18" s="3" t="s">
        <v>655</v>
      </c>
      <c r="D18" s="3" t="s">
        <v>41</v>
      </c>
      <c r="I18" s="8">
        <f>IF(G18="","",G18+IF(H18="",0,H18))</f>
        <v/>
      </c>
      <c r="J18" s="8">
        <f>IF(F18&lt;&gt;"",F18,IF(E18&lt;&gt;"",E18,""))</f>
        <v/>
      </c>
      <c r="K18" s="3" t="s">
        <v>42</v>
      </c>
      <c r="L18" s="3" t="s">
        <v>606</v>
      </c>
      <c r="M18" s="3" t="s">
        <v>44</v>
      </c>
      <c r="N18" s="3" t="s">
        <v>44</v>
      </c>
      <c r="O18" s="3" t="s">
        <v>656</v>
      </c>
      <c r="P18" s="3"/>
    </row>
    <row r="19" spans="1:16">
      <c r="A19" s="6" t="s">
        <v>657</v>
      </c>
      <c r="B19" s="6" t="s">
        <v>658</v>
      </c>
      <c r="C19" s="6" t="s">
        <v>659</v>
      </c>
      <c r="D19" s="6" t="s">
        <v>41</v>
      </c>
      <c r="I19" s="9">
        <f>IF(G19="","",G19+IF(H19="",0,H19))</f>
        <v/>
      </c>
      <c r="J19" s="9">
        <f>IF(F19&lt;&gt;"",F19,IF(E19&lt;&gt;"",E19,""))</f>
        <v/>
      </c>
      <c r="K19" s="6" t="s">
        <v>42</v>
      </c>
      <c r="L19" s="6" t="s">
        <v>602</v>
      </c>
      <c r="M19" s="6" t="s">
        <v>44</v>
      </c>
      <c r="N19" s="6" t="s">
        <v>44</v>
      </c>
      <c r="O19" s="6" t="s">
        <v>660</v>
      </c>
      <c r="P19" s="6"/>
    </row>
    <row r="20" spans="1:16">
      <c r="A20" s="3" t="s">
        <v>661</v>
      </c>
      <c r="B20" s="3" t="s">
        <v>576</v>
      </c>
      <c r="C20" s="3" t="s">
        <v>662</v>
      </c>
      <c r="D20" s="3" t="s">
        <v>41</v>
      </c>
      <c r="I20" s="8">
        <f>IF(G20="","",G20+IF(H20="",0,H20))</f>
        <v/>
      </c>
      <c r="J20" s="8">
        <f>IF(F20&lt;&gt;"",F20,IF(E20&lt;&gt;"",E20,""))</f>
        <v/>
      </c>
      <c r="K20" s="3" t="s">
        <v>42</v>
      </c>
      <c r="L20" s="3" t="s">
        <v>616</v>
      </c>
      <c r="M20" s="3" t="s">
        <v>44</v>
      </c>
      <c r="N20" s="3" t="s">
        <v>44</v>
      </c>
      <c r="O20" s="3" t="s">
        <v>663</v>
      </c>
      <c r="P20" s="3"/>
    </row>
  </sheetData>
  <autoFilter ref="A1:P20"/>
  <conditionalFormatting sqref="D2:D20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202A3F"/>
  </sheetPr>
  <dimension ref="A1:P1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664</v>
      </c>
      <c r="B2" s="3" t="s">
        <v>437</v>
      </c>
      <c r="C2" s="3" t="s">
        <v>665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42</v>
      </c>
      <c r="L2" s="3" t="s">
        <v>666</v>
      </c>
      <c r="M2" s="3" t="s">
        <v>44</v>
      </c>
      <c r="N2" s="3" t="s">
        <v>44</v>
      </c>
      <c r="O2" s="3" t="s">
        <v>667</v>
      </c>
      <c r="P2" s="3"/>
    </row>
    <row r="3" spans="1:16">
      <c r="A3" s="6" t="s">
        <v>668</v>
      </c>
      <c r="B3" s="6" t="s">
        <v>437</v>
      </c>
      <c r="C3" s="6" t="s">
        <v>669</v>
      </c>
      <c r="D3" s="6" t="s">
        <v>41</v>
      </c>
      <c r="I3" s="9">
        <f>IF(G3="","",G3+IF(H3="",0,H3))</f>
        <v/>
      </c>
      <c r="J3" s="9">
        <f>IF(F3&lt;&gt;"",F3,IF(E3&lt;&gt;"",E3,""))</f>
        <v/>
      </c>
      <c r="K3" s="6" t="s">
        <v>42</v>
      </c>
      <c r="L3" s="6" t="s">
        <v>670</v>
      </c>
      <c r="M3" s="6" t="s">
        <v>44</v>
      </c>
      <c r="N3" s="6" t="s">
        <v>44</v>
      </c>
      <c r="O3" s="6" t="s">
        <v>671</v>
      </c>
      <c r="P3" s="6"/>
    </row>
    <row r="4" spans="1:16">
      <c r="A4" s="3" t="s">
        <v>672</v>
      </c>
      <c r="B4" s="3" t="s">
        <v>437</v>
      </c>
      <c r="C4" s="3" t="s">
        <v>673</v>
      </c>
      <c r="D4" s="3" t="s">
        <v>41</v>
      </c>
      <c r="I4" s="8">
        <f>IF(G4="","",G4+IF(H4="",0,H4))</f>
        <v/>
      </c>
      <c r="J4" s="8">
        <f>IF(F4&lt;&gt;"",F4,IF(E4&lt;&gt;"",E4,""))</f>
        <v/>
      </c>
      <c r="K4" s="3" t="s">
        <v>42</v>
      </c>
      <c r="L4" s="3" t="s">
        <v>674</v>
      </c>
      <c r="M4" s="3" t="s">
        <v>44</v>
      </c>
      <c r="N4" s="3" t="s">
        <v>44</v>
      </c>
      <c r="O4" s="3" t="s">
        <v>675</v>
      </c>
      <c r="P4" s="3"/>
    </row>
    <row r="5" spans="1:16">
      <c r="A5" s="6" t="s">
        <v>676</v>
      </c>
      <c r="B5" s="6" t="s">
        <v>442</v>
      </c>
      <c r="C5" s="6" t="s">
        <v>677</v>
      </c>
      <c r="D5" s="6" t="s">
        <v>41</v>
      </c>
      <c r="I5" s="9">
        <f>IF(G5="","",G5+IF(H5="",0,H5))</f>
        <v/>
      </c>
      <c r="J5" s="9">
        <f>IF(F5&lt;&gt;"",F5,IF(E5&lt;&gt;"",E5,""))</f>
        <v/>
      </c>
      <c r="K5" s="6" t="s">
        <v>42</v>
      </c>
      <c r="L5" s="6" t="s">
        <v>678</v>
      </c>
      <c r="M5" s="6" t="s">
        <v>44</v>
      </c>
      <c r="N5" s="6" t="s">
        <v>44</v>
      </c>
      <c r="O5" s="6" t="s">
        <v>679</v>
      </c>
      <c r="P5" s="6"/>
    </row>
    <row r="6" spans="1:16">
      <c r="A6" s="3" t="s">
        <v>680</v>
      </c>
      <c r="B6" s="3" t="s">
        <v>681</v>
      </c>
      <c r="C6" s="3" t="s">
        <v>682</v>
      </c>
      <c r="D6" s="3" t="s">
        <v>41</v>
      </c>
      <c r="I6" s="8">
        <f>IF(G6="","",G6+IF(H6="",0,H6))</f>
        <v/>
      </c>
      <c r="J6" s="8">
        <f>IF(F6&lt;&gt;"",F6,IF(E6&lt;&gt;"",E6,""))</f>
        <v/>
      </c>
      <c r="K6" s="3" t="s">
        <v>42</v>
      </c>
      <c r="L6" s="3" t="s">
        <v>666</v>
      </c>
      <c r="M6" s="3" t="s">
        <v>44</v>
      </c>
      <c r="N6" s="3" t="s">
        <v>44</v>
      </c>
      <c r="O6" s="3" t="s">
        <v>683</v>
      </c>
      <c r="P6" s="3"/>
    </row>
    <row r="7" spans="1:16">
      <c r="A7" s="6" t="s">
        <v>684</v>
      </c>
      <c r="B7" s="6" t="s">
        <v>681</v>
      </c>
      <c r="C7" s="6" t="s">
        <v>685</v>
      </c>
      <c r="D7" s="6" t="s">
        <v>41</v>
      </c>
      <c r="I7" s="9">
        <f>IF(G7="","",G7+IF(H7="",0,H7))</f>
        <v/>
      </c>
      <c r="J7" s="9">
        <f>IF(F7&lt;&gt;"",F7,IF(E7&lt;&gt;"",E7,""))</f>
        <v/>
      </c>
      <c r="K7" s="6" t="s">
        <v>42</v>
      </c>
      <c r="L7" s="6" t="s">
        <v>686</v>
      </c>
      <c r="M7" s="6" t="s">
        <v>44</v>
      </c>
      <c r="N7" s="6" t="s">
        <v>44</v>
      </c>
      <c r="O7" s="6" t="s">
        <v>687</v>
      </c>
      <c r="P7" s="6"/>
    </row>
    <row r="8" spans="1:16">
      <c r="A8" s="3" t="s">
        <v>688</v>
      </c>
      <c r="B8" s="3" t="s">
        <v>681</v>
      </c>
      <c r="C8" s="3" t="s">
        <v>689</v>
      </c>
      <c r="D8" s="3" t="s">
        <v>41</v>
      </c>
      <c r="I8" s="8">
        <f>IF(G8="","",G8+IF(H8="",0,H8))</f>
        <v/>
      </c>
      <c r="J8" s="8">
        <f>IF(F8&lt;&gt;"",F8,IF(E8&lt;&gt;"",E8,""))</f>
        <v/>
      </c>
      <c r="K8" s="3" t="s">
        <v>42</v>
      </c>
      <c r="L8" s="3" t="s">
        <v>690</v>
      </c>
      <c r="M8" s="3" t="s">
        <v>44</v>
      </c>
      <c r="N8" s="3" t="s">
        <v>44</v>
      </c>
      <c r="O8" s="3" t="s">
        <v>691</v>
      </c>
      <c r="P8" s="3"/>
    </row>
    <row r="9" spans="1:16">
      <c r="A9" s="6" t="s">
        <v>692</v>
      </c>
      <c r="B9" s="6" t="s">
        <v>504</v>
      </c>
      <c r="C9" s="6" t="s">
        <v>693</v>
      </c>
      <c r="D9" s="6" t="s">
        <v>41</v>
      </c>
      <c r="I9" s="9">
        <f>IF(G9="","",G9+IF(H9="",0,H9))</f>
        <v/>
      </c>
      <c r="J9" s="9">
        <f>IF(F9&lt;&gt;"",F9,IF(E9&lt;&gt;"",E9,""))</f>
        <v/>
      </c>
      <c r="K9" s="6" t="s">
        <v>42</v>
      </c>
      <c r="L9" s="6" t="s">
        <v>666</v>
      </c>
      <c r="M9" s="6" t="s">
        <v>44</v>
      </c>
      <c r="N9" s="6" t="s">
        <v>44</v>
      </c>
      <c r="O9" s="6" t="s">
        <v>694</v>
      </c>
      <c r="P9" s="6"/>
    </row>
    <row r="10" spans="1:16">
      <c r="A10" s="3" t="s">
        <v>695</v>
      </c>
      <c r="B10" s="3" t="s">
        <v>504</v>
      </c>
      <c r="C10" s="3" t="s">
        <v>696</v>
      </c>
      <c r="D10" s="3" t="s">
        <v>41</v>
      </c>
      <c r="I10" s="8">
        <f>IF(G10="","",G10+IF(H10="",0,H10))</f>
        <v/>
      </c>
      <c r="J10" s="8">
        <f>IF(F10&lt;&gt;"",F10,IF(E10&lt;&gt;"",E10,""))</f>
        <v/>
      </c>
      <c r="K10" s="3" t="s">
        <v>42</v>
      </c>
      <c r="L10" s="3" t="s">
        <v>697</v>
      </c>
      <c r="M10" s="3" t="s">
        <v>44</v>
      </c>
      <c r="N10" s="3" t="s">
        <v>44</v>
      </c>
      <c r="O10" s="3" t="s">
        <v>698</v>
      </c>
      <c r="P10" s="3"/>
    </row>
  </sheetData>
  <autoFilter ref="A1:P10"/>
  <conditionalFormatting sqref="D2:D10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1" width="35.7109375" customWidth="1"/>
    <col min="2" max="2" width="93.7109375" customWidth="1"/>
  </cols>
  <sheetData>
    <row r="1" spans="1:2">
      <c r="A1" s="2" t="s">
        <v>712</v>
      </c>
      <c r="B1" s="2" t="s">
        <v>713</v>
      </c>
    </row>
    <row r="2" spans="1:2" ht="32.25" customHeight="1">
      <c r="A2" s="3" t="s">
        <v>714</v>
      </c>
      <c r="B2" s="11" t="s">
        <v>715</v>
      </c>
    </row>
    <row r="3" spans="1:2" ht="32.25" customHeight="1">
      <c r="A3" s="3" t="s">
        <v>716</v>
      </c>
      <c r="B3" s="11" t="s">
        <v>717</v>
      </c>
    </row>
    <row r="4" spans="1:2" ht="32.25" customHeight="1">
      <c r="A4" s="3" t="s">
        <v>718</v>
      </c>
      <c r="B4" s="11" t="s">
        <v>719</v>
      </c>
    </row>
    <row r="5" spans="1:2" ht="32.25" customHeight="1">
      <c r="A5" s="3" t="s">
        <v>720</v>
      </c>
      <c r="B5" s="11" t="s">
        <v>721</v>
      </c>
    </row>
    <row r="6" spans="1:2" ht="32.25" customHeight="1">
      <c r="A6" s="3" t="s">
        <v>722</v>
      </c>
      <c r="B6" s="11" t="s">
        <v>723</v>
      </c>
    </row>
    <row r="7" spans="1:2" ht="32.25" customHeight="1">
      <c r="A7" s="3" t="s">
        <v>724</v>
      </c>
      <c r="B7" s="11" t="s">
        <v>725</v>
      </c>
    </row>
    <row r="8" spans="1:2" ht="32.25" customHeight="1">
      <c r="A8" s="3" t="s">
        <v>726</v>
      </c>
      <c r="B8" s="11" t="s">
        <v>727</v>
      </c>
    </row>
    <row r="9" spans="1:2" ht="32.25" customHeight="1">
      <c r="A9" s="3" t="s">
        <v>728</v>
      </c>
      <c r="B9" s="11" t="s">
        <v>729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TABLEAU DE BORD</vt:lpstr>
      <vt:lpstr>INVENTAIRE</vt:lpstr>
      <vt:lpstr>BUDGET</vt:lpstr>
      <vt:lpstr>CPU</vt:lpstr>
      <vt:lpstr>GPU</vt:lpstr>
      <vt:lpstr>Motherboard</vt:lpstr>
      <vt:lpstr>NVMe</vt:lpstr>
      <vt:lpstr>SDD</vt:lpstr>
      <vt:lpstr>PSU</vt:lpstr>
      <vt:lpstr>Extra</vt:lpstr>
      <vt:lpstr>Case</vt:lpstr>
      <vt:lpstr>RAM</vt:lpstr>
      <vt:lpstr>Cooling</vt:lpstr>
      <vt:lpstr>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ASUS G11CD · Configuration</dc:title>
  <dc:subject>Inventaire, comparatifs et budget matériel</dc:subject>
  <dc:creator/>
  <dc:description>Automatiquement généré depuis les fichiers JSON du dépôt.</dc:description>
  <cp:lastModifiedBy/>
  <dcterms:created xsi:type="dcterms:W3CDTF">2026-10-30T01:23:58Z</dcterms:created>
  <dcterms:modified xsi:type="dcterms:W3CDTF">2026-10-30T01:23:58Z</dcterms:modified>
</cp:coreProperties>
</file>